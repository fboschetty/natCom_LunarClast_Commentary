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boschetty/Documents/Spyder/Barboni2025/"/>
    </mc:Choice>
  </mc:AlternateContent>
  <xr:revisionPtr revIDLastSave="0" documentId="13_ncr:1_{4AB1B257-90C3-E743-BB66-1A279172020F}" xr6:coauthVersionLast="47" xr6:coauthVersionMax="47" xr10:uidLastSave="{00000000-0000-0000-0000-000000000000}"/>
  <bookViews>
    <workbookView xWindow="-4560" yWindow="-21600" windowWidth="38400" windowHeight="21600" xr2:uid="{52C1B67A-9CBC-5840-BF20-975A7D132CCB}"/>
  </bookViews>
  <sheets>
    <sheet name="Glasses_Filt" sheetId="1" r:id="rId1"/>
    <sheet name="Zircons_Fil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7" i="1" l="1"/>
  <c r="F176" i="1"/>
  <c r="F175" i="1"/>
  <c r="F174" i="1"/>
  <c r="F172" i="1"/>
  <c r="F171" i="1"/>
  <c r="F170" i="1"/>
  <c r="F169" i="1"/>
  <c r="AD169" i="1"/>
  <c r="AD170" i="1"/>
  <c r="AD171" i="1"/>
  <c r="AD172" i="1"/>
  <c r="AD173" i="1"/>
  <c r="AD174" i="1"/>
  <c r="AD175" i="1"/>
  <c r="AD176" i="1"/>
  <c r="AD177" i="1"/>
  <c r="AD168" i="1"/>
  <c r="F173" i="1"/>
  <c r="F168" i="1"/>
  <c r="AD167" i="1"/>
  <c r="F167" i="1"/>
  <c r="AD166" i="1"/>
  <c r="F166" i="1"/>
  <c r="AD165" i="1"/>
  <c r="F165" i="1"/>
  <c r="AD164" i="1"/>
  <c r="F164" i="1"/>
  <c r="AD163" i="1"/>
  <c r="F163" i="1"/>
  <c r="AD162" i="1"/>
  <c r="F162" i="1"/>
  <c r="AD161" i="1"/>
  <c r="F161" i="1"/>
  <c r="AD160" i="1"/>
  <c r="F160" i="1"/>
  <c r="AD159" i="1"/>
  <c r="F159" i="1"/>
  <c r="AD158" i="1"/>
  <c r="F158" i="1"/>
  <c r="AD157" i="1"/>
  <c r="F157" i="1"/>
  <c r="AD156" i="1"/>
  <c r="F156" i="1"/>
  <c r="AD155" i="1"/>
  <c r="F155" i="1"/>
  <c r="AD154" i="1"/>
  <c r="F154" i="1"/>
  <c r="AD153" i="1"/>
  <c r="F153" i="1"/>
  <c r="AD152" i="1"/>
  <c r="F152" i="1"/>
  <c r="AD151" i="1"/>
  <c r="F151" i="1"/>
  <c r="F150" i="1"/>
  <c r="F149" i="1"/>
  <c r="F148" i="1"/>
  <c r="AD147" i="1"/>
  <c r="F147" i="1"/>
  <c r="AD146" i="1"/>
  <c r="F146" i="1"/>
  <c r="AD145" i="1"/>
  <c r="F145" i="1"/>
  <c r="AD144" i="1"/>
  <c r="F144" i="1"/>
  <c r="AD143" i="1"/>
  <c r="F143" i="1"/>
  <c r="AD142" i="1"/>
  <c r="F142" i="1"/>
  <c r="AD141" i="1"/>
  <c r="F141" i="1"/>
  <c r="AD140" i="1"/>
  <c r="F140" i="1"/>
  <c r="AD139" i="1"/>
  <c r="F139" i="1"/>
  <c r="AD138" i="1"/>
  <c r="F138" i="1"/>
  <c r="AD137" i="1"/>
  <c r="F137" i="1"/>
  <c r="AD136" i="1"/>
  <c r="F136" i="1"/>
  <c r="AD135" i="1"/>
  <c r="F135" i="1"/>
  <c r="AD134" i="1"/>
  <c r="F134" i="1"/>
  <c r="AD133" i="1"/>
  <c r="F133" i="1"/>
  <c r="AD132" i="1"/>
  <c r="F132" i="1"/>
  <c r="AD131" i="1"/>
  <c r="F131" i="1"/>
  <c r="AD130" i="1"/>
  <c r="F130" i="1"/>
  <c r="AD129" i="1"/>
  <c r="F129" i="1"/>
  <c r="AD128" i="1"/>
  <c r="F128" i="1"/>
  <c r="AD127" i="1"/>
  <c r="F127" i="1"/>
  <c r="AD126" i="1"/>
  <c r="F126" i="1"/>
  <c r="AD125" i="1"/>
  <c r="F125" i="1"/>
  <c r="AD124" i="1"/>
  <c r="F124" i="1"/>
  <c r="AD123" i="1"/>
  <c r="F123" i="1"/>
  <c r="AD122" i="1"/>
  <c r="F122" i="1"/>
  <c r="AD121" i="1"/>
  <c r="F121" i="1"/>
  <c r="AD120" i="1"/>
  <c r="F120" i="1"/>
  <c r="AD119" i="1"/>
  <c r="F119" i="1"/>
  <c r="AD118" i="1"/>
  <c r="F118" i="1"/>
  <c r="AD117" i="1"/>
  <c r="F117" i="1"/>
  <c r="AD116" i="1"/>
  <c r="F116" i="1"/>
  <c r="AD115" i="1"/>
  <c r="F115" i="1"/>
  <c r="AD114" i="1"/>
  <c r="F114" i="1"/>
  <c r="AD113" i="1"/>
  <c r="F113" i="1"/>
  <c r="AD112" i="1"/>
  <c r="F112" i="1"/>
  <c r="AD111" i="1"/>
  <c r="F111" i="1"/>
  <c r="AD110" i="1"/>
  <c r="F110" i="1"/>
  <c r="AD109" i="1"/>
  <c r="F109" i="1"/>
  <c r="AD108" i="1"/>
  <c r="F108" i="1"/>
  <c r="AD107" i="1"/>
  <c r="F107" i="1"/>
  <c r="AD106" i="1"/>
  <c r="F106" i="1"/>
  <c r="AD105" i="1"/>
  <c r="F105" i="1"/>
  <c r="AD104" i="1"/>
  <c r="F104" i="1"/>
  <c r="AD103" i="1"/>
  <c r="F103" i="1"/>
  <c r="AD102" i="1"/>
  <c r="F102" i="1"/>
  <c r="AD101" i="1"/>
  <c r="F101" i="1"/>
  <c r="AD100" i="1"/>
  <c r="F100" i="1"/>
  <c r="AD99" i="1"/>
  <c r="F99" i="1"/>
  <c r="AD98" i="1"/>
  <c r="F98" i="1"/>
  <c r="AD97" i="1"/>
  <c r="F97" i="1"/>
  <c r="AD96" i="1"/>
  <c r="F96" i="1"/>
  <c r="AD95" i="1"/>
  <c r="F95" i="1"/>
  <c r="AD94" i="1"/>
  <c r="F94" i="1"/>
  <c r="AD93" i="1"/>
  <c r="F93" i="1"/>
  <c r="AD92" i="1"/>
  <c r="F92" i="1"/>
  <c r="AD91" i="1"/>
  <c r="F91" i="1"/>
  <c r="AD90" i="1"/>
  <c r="F90" i="1"/>
  <c r="AD89" i="1"/>
  <c r="F89" i="1"/>
  <c r="AD88" i="1"/>
  <c r="F88" i="1"/>
  <c r="AD87" i="1"/>
  <c r="F87" i="1"/>
  <c r="AD86" i="1"/>
  <c r="F86" i="1"/>
  <c r="AD85" i="1"/>
  <c r="F85" i="1"/>
  <c r="AD84" i="1"/>
  <c r="F84" i="1"/>
  <c r="AD83" i="1"/>
  <c r="F83" i="1"/>
  <c r="AD82" i="1"/>
  <c r="F82" i="1"/>
  <c r="AD81" i="1"/>
  <c r="F81" i="1"/>
  <c r="AD80" i="1"/>
  <c r="F80" i="1"/>
  <c r="AD79" i="1"/>
  <c r="F79" i="1"/>
  <c r="AD78" i="1"/>
  <c r="F78" i="1"/>
  <c r="AD77" i="1"/>
  <c r="F77" i="1"/>
  <c r="AD76" i="1"/>
  <c r="F76" i="1"/>
  <c r="AD75" i="1"/>
  <c r="F75" i="1"/>
  <c r="AD74" i="1"/>
  <c r="F74" i="1"/>
  <c r="AD73" i="1"/>
  <c r="F73" i="1"/>
  <c r="AD72" i="1"/>
  <c r="F72" i="1"/>
  <c r="AD71" i="1"/>
  <c r="F71" i="1"/>
  <c r="AD70" i="1"/>
  <c r="F70" i="1"/>
  <c r="AD69" i="1"/>
  <c r="F69" i="1"/>
  <c r="AD68" i="1"/>
  <c r="F68" i="1"/>
  <c r="AD67" i="1"/>
  <c r="F67" i="1"/>
  <c r="AD66" i="1"/>
  <c r="F66" i="1"/>
  <c r="AD65" i="1"/>
  <c r="F65" i="1"/>
  <c r="AD64" i="1"/>
  <c r="F64" i="1"/>
  <c r="AD63" i="1"/>
  <c r="F63" i="1"/>
  <c r="AD62" i="1"/>
  <c r="F62" i="1"/>
  <c r="AD61" i="1"/>
  <c r="F61" i="1"/>
  <c r="F60" i="1"/>
  <c r="AD59" i="1"/>
  <c r="F59" i="1"/>
  <c r="AD58" i="1"/>
  <c r="F58" i="1"/>
  <c r="AD57" i="1"/>
  <c r="F57" i="1"/>
  <c r="AD56" i="1"/>
  <c r="F56" i="1"/>
  <c r="AD55" i="1"/>
  <c r="F55" i="1"/>
  <c r="AD54" i="1"/>
  <c r="F54" i="1"/>
  <c r="AD53" i="1"/>
  <c r="F53" i="1"/>
  <c r="AD52" i="1"/>
  <c r="F52" i="1"/>
  <c r="F51" i="1"/>
  <c r="AD50" i="1"/>
  <c r="F50" i="1"/>
  <c r="AD49" i="1"/>
  <c r="F49" i="1"/>
  <c r="AD48" i="1"/>
  <c r="F48" i="1"/>
  <c r="AD47" i="1"/>
  <c r="F47" i="1"/>
  <c r="AD46" i="1"/>
  <c r="F46" i="1"/>
  <c r="AD45" i="1"/>
  <c r="F45" i="1"/>
  <c r="AD44" i="1"/>
  <c r="F44" i="1"/>
  <c r="AD43" i="1"/>
  <c r="F43" i="1"/>
  <c r="AD42" i="1"/>
  <c r="F42" i="1"/>
  <c r="F41" i="1"/>
  <c r="AD40" i="1"/>
  <c r="F40" i="1"/>
  <c r="AD39" i="1"/>
  <c r="F39" i="1"/>
  <c r="AD38" i="1"/>
  <c r="F38" i="1"/>
  <c r="AD37" i="1"/>
  <c r="F37" i="1"/>
  <c r="AD36" i="1"/>
  <c r="F36" i="1"/>
  <c r="AD35" i="1"/>
  <c r="F35" i="1"/>
  <c r="AD34" i="1"/>
  <c r="F34" i="1"/>
  <c r="AD33" i="1"/>
  <c r="F33" i="1"/>
  <c r="AD32" i="1"/>
  <c r="F32" i="1"/>
  <c r="AD31" i="1"/>
  <c r="F31" i="1"/>
  <c r="AD30" i="1"/>
  <c r="F30" i="1"/>
  <c r="AD29" i="1"/>
  <c r="F29" i="1"/>
  <c r="AD28" i="1"/>
  <c r="F28" i="1"/>
  <c r="AD27" i="1"/>
  <c r="F27" i="1"/>
  <c r="AD26" i="1"/>
  <c r="F26" i="1"/>
  <c r="AD25" i="1"/>
  <c r="F25" i="1"/>
  <c r="AD24" i="1"/>
  <c r="F24" i="1"/>
  <c r="AD23" i="1"/>
  <c r="F23" i="1"/>
  <c r="AD22" i="1"/>
  <c r="F22" i="1"/>
  <c r="AD21" i="1"/>
  <c r="F21" i="1"/>
  <c r="AD20" i="1"/>
  <c r="F20" i="1"/>
  <c r="AD19" i="1"/>
  <c r="F19" i="1"/>
  <c r="AD18" i="1"/>
  <c r="F18" i="1"/>
  <c r="AD17" i="1"/>
  <c r="F17" i="1"/>
  <c r="AD16" i="1"/>
  <c r="F16" i="1"/>
  <c r="AD15" i="1"/>
  <c r="F15" i="1"/>
  <c r="AD14" i="1"/>
  <c r="F14" i="1"/>
  <c r="AD13" i="1"/>
  <c r="F13" i="1"/>
  <c r="AD12" i="1"/>
  <c r="F12" i="1"/>
  <c r="AD11" i="1"/>
  <c r="F11" i="1"/>
  <c r="AD10" i="1"/>
  <c r="F10" i="1"/>
  <c r="AD9" i="1"/>
  <c r="F9" i="1"/>
  <c r="AD8" i="1"/>
  <c r="F8" i="1"/>
  <c r="AD7" i="1"/>
  <c r="F7" i="1"/>
  <c r="AD6" i="1"/>
  <c r="F6" i="1"/>
  <c r="AD5" i="1"/>
  <c r="F5" i="1"/>
  <c r="AD4" i="1"/>
  <c r="F4" i="1"/>
  <c r="AD3" i="1"/>
  <c r="F3" i="1"/>
  <c r="AD2" i="1"/>
  <c r="F2" i="1"/>
  <c r="AE177" i="1" l="1"/>
  <c r="AE172" i="1"/>
</calcChain>
</file>

<file path=xl/sharedStrings.xml><?xml version="1.0" encoding="utf-8"?>
<sst xmlns="http://schemas.openxmlformats.org/spreadsheetml/2006/main" count="1154" uniqueCount="230">
  <si>
    <t>Repeat No.</t>
  </si>
  <si>
    <t>duration (h)</t>
  </si>
  <si>
    <t xml:space="preserve">10^4/T(K) </t>
  </si>
  <si>
    <t>capsule</t>
  </si>
  <si>
    <t>SiO2</t>
  </si>
  <si>
    <t>SiO2 std</t>
  </si>
  <si>
    <t>TiO2</t>
  </si>
  <si>
    <t>TiO2 std</t>
  </si>
  <si>
    <t>Al2O3</t>
  </si>
  <si>
    <t>Al2O3 std</t>
  </si>
  <si>
    <t>FeO</t>
  </si>
  <si>
    <t>FeO std</t>
  </si>
  <si>
    <t>MgO</t>
  </si>
  <si>
    <t>MgO std</t>
  </si>
  <si>
    <t>MnO</t>
  </si>
  <si>
    <t>CaO</t>
  </si>
  <si>
    <t>CaO std</t>
  </si>
  <si>
    <t>Na2O</t>
  </si>
  <si>
    <t>Na2O std</t>
  </si>
  <si>
    <t>K2O</t>
  </si>
  <si>
    <t>K2O std</t>
  </si>
  <si>
    <t>P2O5</t>
  </si>
  <si>
    <t>ZrO2</t>
  </si>
  <si>
    <t>Total</t>
  </si>
  <si>
    <t>M06-1050-5h-1</t>
  </si>
  <si>
    <t>Fe</t>
  </si>
  <si>
    <t>M17-1060-5h-1</t>
  </si>
  <si>
    <t>Fe+Pt</t>
  </si>
  <si>
    <t>M17-1060-5h-5</t>
  </si>
  <si>
    <t>M19-1080-5h-1</t>
  </si>
  <si>
    <t>M19-1080-5h-2</t>
  </si>
  <si>
    <t>M19-1080-5h-5</t>
  </si>
  <si>
    <t>M03-1100-5h-1</t>
  </si>
  <si>
    <t>M07-1100-5h-1</t>
  </si>
  <si>
    <t>M07-1100-5h-2</t>
  </si>
  <si>
    <t>M07-1100-5h-3</t>
  </si>
  <si>
    <t>M07-1100-5h-4</t>
  </si>
  <si>
    <t>M09-1100-5h-1</t>
  </si>
  <si>
    <t>M09-1100-5h-3</t>
  </si>
  <si>
    <t>M09-1100-5h-4</t>
  </si>
  <si>
    <t>M09-1100-5h-5</t>
  </si>
  <si>
    <t>M20-1130-5h-1</t>
  </si>
  <si>
    <t>M20-1130-5h-2</t>
  </si>
  <si>
    <t>M20-1130-5h-3</t>
  </si>
  <si>
    <t>M20-1130-5h-5</t>
  </si>
  <si>
    <t>M26-1130-2</t>
  </si>
  <si>
    <t>AuPd</t>
  </si>
  <si>
    <t>M26-1130-3</t>
  </si>
  <si>
    <t>M26-1130-4</t>
  </si>
  <si>
    <t>M26-1130-5</t>
  </si>
  <si>
    <t>M08-1200-5h-2</t>
  </si>
  <si>
    <t>M08-1200-5h-3</t>
  </si>
  <si>
    <t>M08-1200-5h-5</t>
  </si>
  <si>
    <t>M15-1200-5h-1</t>
  </si>
  <si>
    <t>M15-1200-5h-2</t>
  </si>
  <si>
    <t>M15-1200-5h-3</t>
  </si>
  <si>
    <t>M15-1200-5h-4</t>
  </si>
  <si>
    <t>M15-1200-5h-5</t>
  </si>
  <si>
    <t>M25-1200-1</t>
  </si>
  <si>
    <t>M25-1200-4</t>
  </si>
  <si>
    <t>M25-1200-5</t>
  </si>
  <si>
    <t>M10-1300-3h-2</t>
  </si>
  <si>
    <t>M10-1300-3h-3</t>
  </si>
  <si>
    <t>M12-1300-3h-4</t>
  </si>
  <si>
    <t>M12-1300-3h-5</t>
  </si>
  <si>
    <t>M281200 a-1</t>
  </si>
  <si>
    <t>Graphite</t>
  </si>
  <si>
    <t>Experiment</t>
  </si>
  <si>
    <t>Label</t>
  </si>
  <si>
    <t>Date</t>
  </si>
  <si>
    <t>016SMPL.d</t>
  </si>
  <si>
    <t>017SMPL.d</t>
  </si>
  <si>
    <t>005SMPL.d</t>
  </si>
  <si>
    <t>007SMPL.d</t>
  </si>
  <si>
    <t>009SMPL.d</t>
  </si>
  <si>
    <t>004SMPL</t>
  </si>
  <si>
    <t>005SMPL</t>
  </si>
  <si>
    <t>006SMPL</t>
  </si>
  <si>
    <t>007SMPL</t>
  </si>
  <si>
    <t>008SMPL</t>
  </si>
  <si>
    <t>Si29_CPS</t>
  </si>
  <si>
    <t>Si29_CPS_Int2SE</t>
  </si>
  <si>
    <t>Na23_CPS</t>
  </si>
  <si>
    <t>Na23_CPS_2SE</t>
  </si>
  <si>
    <t>Fe56_CPS</t>
  </si>
  <si>
    <t>Fe56_CPS_2SE</t>
  </si>
  <si>
    <t>Fe57_CPS</t>
  </si>
  <si>
    <t>Fe57_CPS_2SE</t>
  </si>
  <si>
    <t>Lu175_CPS</t>
  </si>
  <si>
    <t>Lu175_CPS_2SE</t>
  </si>
  <si>
    <t>Hf178_CPS</t>
  </si>
  <si>
    <t>Hf178_CPS_Int2SE</t>
  </si>
  <si>
    <t>Al27 ppm</t>
  </si>
  <si>
    <t>Al27 ppm 2SE</t>
  </si>
  <si>
    <t>Al LOD</t>
  </si>
  <si>
    <t>Zr91 ppm</t>
  </si>
  <si>
    <t>Zr91ppm 2SE</t>
  </si>
  <si>
    <t>Zr LOD</t>
  </si>
  <si>
    <t>037SMPL.d</t>
  </si>
  <si>
    <t>038SMPL.d</t>
  </si>
  <si>
    <t>039SMPL.d</t>
  </si>
  <si>
    <t>010SMPL</t>
  </si>
  <si>
    <t>011SMPL</t>
  </si>
  <si>
    <t>012SMPL</t>
  </si>
  <si>
    <t>014SMPL</t>
  </si>
  <si>
    <t>015SMPL</t>
  </si>
  <si>
    <t>016SMPL</t>
  </si>
  <si>
    <t>023SMPL</t>
  </si>
  <si>
    <t>024SMPL</t>
  </si>
  <si>
    <t>025SMPL</t>
  </si>
  <si>
    <t>026SMPL</t>
  </si>
  <si>
    <t>027SMPL</t>
  </si>
  <si>
    <t>028SMPL</t>
  </si>
  <si>
    <t>030SMPL</t>
  </si>
  <si>
    <t>033SMPL</t>
  </si>
  <si>
    <t>034SMPL</t>
  </si>
  <si>
    <t>035SMPL</t>
  </si>
  <si>
    <t>036SMPL</t>
  </si>
  <si>
    <t>037SMPL</t>
  </si>
  <si>
    <t>Sample_3_1</t>
  </si>
  <si>
    <t>Sample_3_2</t>
  </si>
  <si>
    <t>Sample_3_3</t>
  </si>
  <si>
    <t>Sample_3_4</t>
  </si>
  <si>
    <t>Sample_3_6</t>
  </si>
  <si>
    <t>009SMPL</t>
  </si>
  <si>
    <t>013SMPL</t>
  </si>
  <si>
    <t>P31 ppm</t>
  </si>
  <si>
    <t>P 2SE</t>
  </si>
  <si>
    <t>P LOD</t>
  </si>
  <si>
    <t>Lu LOD</t>
  </si>
  <si>
    <t>Hf LOD</t>
  </si>
  <si>
    <t>017SMPL</t>
  </si>
  <si>
    <t>018SMPL</t>
  </si>
  <si>
    <t>019SMPL</t>
  </si>
  <si>
    <t>020SMPL</t>
  </si>
  <si>
    <t>021SMPL</t>
  </si>
  <si>
    <t>022SMPL</t>
  </si>
  <si>
    <t>029SMPL</t>
  </si>
  <si>
    <t>031SMPL</t>
  </si>
  <si>
    <t>032SMPL</t>
  </si>
  <si>
    <t>038SMPL</t>
  </si>
  <si>
    <t>039SMPL</t>
  </si>
  <si>
    <t>040SMPL</t>
  </si>
  <si>
    <t>042SMPL</t>
  </si>
  <si>
    <t>044SMPL</t>
  </si>
  <si>
    <t>045SMPL</t>
  </si>
  <si>
    <t>046SMPL</t>
  </si>
  <si>
    <t>047SMPL</t>
  </si>
  <si>
    <t>048SMPL</t>
  </si>
  <si>
    <t>049SMPL</t>
  </si>
  <si>
    <t>051SMPL</t>
  </si>
  <si>
    <t>057SMPL</t>
  </si>
  <si>
    <t>059SMPL</t>
  </si>
  <si>
    <t>060SMPL</t>
  </si>
  <si>
    <t>062SMPL</t>
  </si>
  <si>
    <t>064SMPL</t>
  </si>
  <si>
    <t>065SMPL</t>
  </si>
  <si>
    <t>041SMPL</t>
  </si>
  <si>
    <t>043SMPL</t>
  </si>
  <si>
    <t>050SMPL</t>
  </si>
  <si>
    <r>
      <t>T (</t>
    </r>
    <r>
      <rPr>
        <b/>
        <vertAlign val="superscript"/>
        <sz val="12"/>
        <rFont val="Aptos"/>
      </rPr>
      <t>o</t>
    </r>
    <r>
      <rPr>
        <b/>
        <sz val="12"/>
        <rFont val="Aptos"/>
      </rPr>
      <t xml:space="preserve">C) </t>
    </r>
  </si>
  <si>
    <t>MnO std</t>
  </si>
  <si>
    <t>P2O5 std</t>
  </si>
  <si>
    <t>ZrO2 std</t>
  </si>
  <si>
    <t>055SMPL</t>
  </si>
  <si>
    <t>058SMPL</t>
  </si>
  <si>
    <t>061SMPL</t>
  </si>
  <si>
    <t>063SMPL</t>
  </si>
  <si>
    <t>066SMPL</t>
  </si>
  <si>
    <t>067SMPL</t>
  </si>
  <si>
    <t>068SMPL</t>
  </si>
  <si>
    <t>071SMPL</t>
  </si>
  <si>
    <t>075SMPL</t>
  </si>
  <si>
    <t>076SMPL</t>
  </si>
  <si>
    <t>077SMPL</t>
  </si>
  <si>
    <t>081SMPL</t>
  </si>
  <si>
    <t>082SMPL</t>
  </si>
  <si>
    <t>083SMPL</t>
  </si>
  <si>
    <t>053SMPL</t>
  </si>
  <si>
    <t>054SMPL</t>
  </si>
  <si>
    <t>056SMPL</t>
  </si>
  <si>
    <t>M20_expt1</t>
  </si>
  <si>
    <t>M20_expt3</t>
  </si>
  <si>
    <t>09.28.21</t>
    <phoneticPr fontId="1" type="noConversion"/>
  </si>
  <si>
    <t>M25-1200-1</t>
    <phoneticPr fontId="1" type="noConversion"/>
  </si>
  <si>
    <t>05.18.23</t>
    <phoneticPr fontId="1" type="noConversion"/>
  </si>
  <si>
    <t>M25-1200-4</t>
    <phoneticPr fontId="1" type="noConversion"/>
  </si>
  <si>
    <t>M25-1200-5</t>
    <phoneticPr fontId="1" type="noConversion"/>
  </si>
  <si>
    <t>M26-1130-3</t>
    <phoneticPr fontId="1" type="noConversion"/>
  </si>
  <si>
    <t>06.05.23</t>
    <phoneticPr fontId="1" type="noConversion"/>
  </si>
  <si>
    <t>M26-1130-5</t>
    <phoneticPr fontId="1" type="noConversion"/>
  </si>
  <si>
    <t>Repeat</t>
  </si>
  <si>
    <t>M06_1_60</t>
  </si>
  <si>
    <t>M06_1</t>
  </si>
  <si>
    <t>M07_1</t>
  </si>
  <si>
    <t>M07_3</t>
  </si>
  <si>
    <t>M07_4</t>
  </si>
  <si>
    <t>M09_1</t>
  </si>
  <si>
    <t>M09_3</t>
  </si>
  <si>
    <t>M09_5</t>
  </si>
  <si>
    <t>M10_3</t>
  </si>
  <si>
    <t>M12_4</t>
  </si>
  <si>
    <t>M15_1</t>
  </si>
  <si>
    <t>M15_3</t>
  </si>
  <si>
    <t>M15_4</t>
  </si>
  <si>
    <t>M15_5</t>
  </si>
  <si>
    <t>M28-AlZr03</t>
  </si>
  <si>
    <t>M29_AlZr04</t>
  </si>
  <si>
    <t>M08_2</t>
  </si>
  <si>
    <t>M08_5</t>
  </si>
  <si>
    <t>M07_2</t>
  </si>
  <si>
    <t>M10_2</t>
  </si>
  <si>
    <t>M17_1</t>
  </si>
  <si>
    <t>M17_5</t>
  </si>
  <si>
    <t>M19_1</t>
  </si>
  <si>
    <t>M19_2</t>
  </si>
  <si>
    <t>M19_5</t>
  </si>
  <si>
    <t>M06_1_70</t>
  </si>
  <si>
    <t>Al27 ppm_wmean</t>
  </si>
  <si>
    <t>Al27 ppm_wstd</t>
  </si>
  <si>
    <t>Al27 ppm_avg_2SE</t>
  </si>
  <si>
    <t>Zr91 wt%_wstd</t>
  </si>
  <si>
    <t>Zr91 wt%_wmean</t>
  </si>
  <si>
    <t>Zr91 wt%_avg_2SE</t>
  </si>
  <si>
    <t>M291250 a-1</t>
  </si>
  <si>
    <t>Starting Composition</t>
  </si>
  <si>
    <t>b</t>
  </si>
  <si>
    <t>14310_5</t>
  </si>
  <si>
    <t>141_417_069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</si>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</sst>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3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ptos"/>
    </font>
    <font>
      <b/>
      <sz val="12"/>
      <name val="Aptos"/>
    </font>
    <font>
      <b/>
      <vertAlign val="superscript"/>
      <sz val="12"/>
      <name val="Aptos"/>
    </font>
    <font>
      <sz val="12"/>
      <name val="Aptos"/>
    </font>
    <font>
      <sz val="14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theme="1"/>
      <name val="Aptos Display"/>
      <family val="2"/>
      <scheme val="major"/>
    </font>
    <font>
      <sz val="12"/>
      <color theme="1"/>
      <name val="Calibri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D8D8D8"/>
      </right>
      <top style="thin">
        <color indexed="64"/>
      </top>
      <bottom style="thin">
        <color indexed="64"/>
      </bottom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11" fontId="2" fillId="0" borderId="0" xfId="0" applyNumberFormat="1" applyFont="1"/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6" fillId="2" borderId="0" xfId="0" applyFont="1" applyFill="1" applyAlignment="1">
      <alignment horizontal="center"/>
    </xf>
    <xf numFmtId="2" fontId="6" fillId="2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2" borderId="0" xfId="0" applyFont="1" applyFill="1"/>
    <xf numFmtId="0" fontId="6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2" fontId="2" fillId="2" borderId="0" xfId="0" applyNumberFormat="1" applyFont="1" applyFill="1" applyAlignment="1">
      <alignment vertical="center"/>
    </xf>
    <xf numFmtId="2" fontId="2" fillId="2" borderId="0" xfId="0" applyNumberFormat="1" applyFont="1" applyFill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/>
    <xf numFmtId="0" fontId="0" fillId="2" borderId="0" xfId="0" applyFill="1"/>
    <xf numFmtId="0" fontId="2" fillId="0" borderId="0" xfId="0" applyFont="1" applyAlignment="1">
      <alignment vertical="center"/>
    </xf>
    <xf numFmtId="164" fontId="2" fillId="0" borderId="0" xfId="0" applyNumberFormat="1" applyFont="1"/>
    <xf numFmtId="164" fontId="2" fillId="2" borderId="0" xfId="0" applyNumberFormat="1" applyFont="1" applyFill="1"/>
    <xf numFmtId="0" fontId="7" fillId="0" borderId="0" xfId="0" applyFont="1"/>
    <xf numFmtId="0" fontId="7" fillId="2" borderId="0" xfId="0" applyFont="1" applyFill="1"/>
    <xf numFmtId="2" fontId="0" fillId="0" borderId="0" xfId="0" applyNumberFormat="1"/>
    <xf numFmtId="2" fontId="7" fillId="0" borderId="0" xfId="0" applyNumberFormat="1" applyFont="1"/>
    <xf numFmtId="1" fontId="2" fillId="2" borderId="0" xfId="0" applyNumberFormat="1" applyFont="1" applyFill="1"/>
    <xf numFmtId="1" fontId="0" fillId="0" borderId="0" xfId="0" applyNumberFormat="1"/>
    <xf numFmtId="14" fontId="2" fillId="2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1" fontId="2" fillId="0" borderId="0" xfId="0" applyNumberFormat="1" applyFont="1"/>
    <xf numFmtId="1" fontId="2" fillId="0" borderId="0" xfId="0" applyNumberFormat="1" applyFont="1" applyAlignment="1">
      <alignment vertical="center"/>
    </xf>
    <xf numFmtId="0" fontId="3" fillId="0" borderId="6" xfId="0" applyFont="1" applyBorder="1" applyAlignment="1">
      <alignment horizontal="center"/>
    </xf>
    <xf numFmtId="0" fontId="3" fillId="0" borderId="6" xfId="0" applyFont="1" applyBorder="1"/>
    <xf numFmtId="1" fontId="3" fillId="0" borderId="6" xfId="0" applyNumberFormat="1" applyFont="1" applyBorder="1" applyAlignment="1">
      <alignment horizontal="center"/>
    </xf>
    <xf numFmtId="0" fontId="0" fillId="0" borderId="6" xfId="0" applyBorder="1"/>
    <xf numFmtId="2" fontId="9" fillId="0" borderId="6" xfId="0" applyNumberFormat="1" applyFont="1" applyBorder="1"/>
    <xf numFmtId="0" fontId="9" fillId="0" borderId="6" xfId="0" applyFont="1" applyBorder="1"/>
    <xf numFmtId="0" fontId="6" fillId="0" borderId="5" xfId="0" applyFont="1" applyBorder="1"/>
    <xf numFmtId="0" fontId="6" fillId="2" borderId="5" xfId="0" applyFont="1" applyFill="1" applyBorder="1"/>
    <xf numFmtId="2" fontId="0" fillId="2" borderId="0" xfId="0" applyNumberFormat="1" applyFill="1"/>
    <xf numFmtId="2" fontId="7" fillId="2" borderId="0" xfId="0" applyNumberFormat="1" applyFont="1" applyFill="1"/>
    <xf numFmtId="14" fontId="10" fillId="2" borderId="0" xfId="0" applyNumberFormat="1" applyFont="1" applyFill="1" applyAlignment="1">
      <alignment horizontal="center"/>
    </xf>
    <xf numFmtId="1" fontId="10" fillId="2" borderId="0" xfId="0" applyNumberFormat="1" applyFont="1" applyFill="1"/>
    <xf numFmtId="2" fontId="3" fillId="0" borderId="6" xfId="0" applyNumberFormat="1" applyFont="1" applyBorder="1" applyAlignment="1">
      <alignment horizontal="center"/>
    </xf>
    <xf numFmtId="2" fontId="10" fillId="2" borderId="0" xfId="0" applyNumberFormat="1" applyFont="1" applyFill="1"/>
    <xf numFmtId="165" fontId="3" fillId="0" borderId="6" xfId="0" applyNumberFormat="1" applyFont="1" applyBorder="1" applyAlignment="1">
      <alignment horizontal="center"/>
    </xf>
    <xf numFmtId="165" fontId="2" fillId="0" borderId="0" xfId="0" applyNumberFormat="1" applyFont="1"/>
    <xf numFmtId="165" fontId="2" fillId="2" borderId="0" xfId="0" applyNumberFormat="1" applyFont="1" applyFill="1"/>
    <xf numFmtId="165" fontId="0" fillId="0" borderId="0" xfId="0" applyNumberFormat="1"/>
    <xf numFmtId="0" fontId="12" fillId="2" borderId="0" xfId="0" applyFont="1" applyFill="1" applyAlignment="1">
      <alignment horizontal="center"/>
    </xf>
    <xf numFmtId="1" fontId="6" fillId="2" borderId="0" xfId="0" applyNumberFormat="1" applyFont="1" applyFill="1" applyAlignment="1">
      <alignment horizontal="center"/>
    </xf>
    <xf numFmtId="0" fontId="12" fillId="2" borderId="0" xfId="0" applyFont="1" applyFill="1"/>
    <xf numFmtId="2" fontId="11" fillId="2" borderId="0" xfId="0" applyNumberFormat="1" applyFont="1" applyFill="1" applyAlignment="1">
      <alignment vertical="center"/>
    </xf>
    <xf numFmtId="2" fontId="12" fillId="2" borderId="0" xfId="0" applyNumberFormat="1" applyFont="1" applyFill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Fill="1" applyAlignment="1">
      <alignment horizontal="center"/>
    </xf>
    <xf numFmtId="2" fontId="2" fillId="0" borderId="0" xfId="0" applyNumberFormat="1" applyFont="1" applyFill="1"/>
    <xf numFmtId="0" fontId="0" fillId="0" borderId="0" xfId="0" applyFill="1"/>
    <xf numFmtId="1" fontId="6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vertical="center"/>
    </xf>
    <xf numFmtId="2" fontId="12" fillId="0" borderId="0" xfId="0" applyNumberFormat="1" applyFont="1" applyFill="1"/>
    <xf numFmtId="0" fontId="12" fillId="0" borderId="0" xfId="0" applyFont="1" applyFill="1"/>
    <xf numFmtId="0" fontId="12" fillId="0" borderId="0" xfId="0" applyFont="1" applyFill="1" applyAlignment="1">
      <alignment horizontal="center"/>
    </xf>
    <xf numFmtId="2" fontId="0" fillId="0" borderId="0" xfId="0" applyNumberFormat="1" applyFill="1"/>
    <xf numFmtId="0" fontId="4" fillId="0" borderId="2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F552-30DD-A84B-AA59-0C8B8BF804E2}">
  <dimension ref="A1:AE180"/>
  <sheetViews>
    <sheetView tabSelected="1" zoomScale="90" workbookViewId="0">
      <pane xSplit="1" ySplit="1" topLeftCell="B12" activePane="bottomRight" state="frozen"/>
      <selection pane="topRight" activeCell="B1" sqref="B1"/>
      <selection pane="bottomLeft" activeCell="A2" sqref="A2"/>
      <selection pane="bottomRight" activeCell="L29" sqref="L29:L30"/>
    </sheetView>
  </sheetViews>
  <sheetFormatPr baseColWidth="10" defaultRowHeight="19" x14ac:dyDescent="0.25"/>
  <cols>
    <col min="1" max="1" width="17.85546875" bestFit="1" customWidth="1"/>
    <col min="2" max="2" width="17.85546875" style="1" customWidth="1"/>
    <col min="3" max="3" width="10" style="1" customWidth="1"/>
    <col min="7" max="7" width="10.7109375" style="1"/>
  </cols>
  <sheetData>
    <row r="1" spans="1:30" s="1" customFormat="1" ht="20" x14ac:dyDescent="0.25">
      <c r="A1" s="72" t="s">
        <v>67</v>
      </c>
      <c r="B1" s="4" t="s">
        <v>225</v>
      </c>
      <c r="C1" s="4" t="s">
        <v>0</v>
      </c>
      <c r="D1" s="4" t="s">
        <v>160</v>
      </c>
      <c r="E1" s="4" t="s">
        <v>1</v>
      </c>
      <c r="F1" s="4" t="s">
        <v>2</v>
      </c>
      <c r="G1" s="71" t="s">
        <v>3</v>
      </c>
      <c r="H1" s="71" t="s">
        <v>4</v>
      </c>
      <c r="I1" s="73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4" t="s">
        <v>14</v>
      </c>
      <c r="S1" s="5" t="s">
        <v>161</v>
      </c>
      <c r="T1" s="5" t="s">
        <v>15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4" t="s">
        <v>21</v>
      </c>
      <c r="AA1" s="5" t="s">
        <v>162</v>
      </c>
      <c r="AB1" s="4" t="s">
        <v>22</v>
      </c>
      <c r="AC1" s="5" t="s">
        <v>163</v>
      </c>
      <c r="AD1" s="4" t="s">
        <v>23</v>
      </c>
    </row>
    <row r="2" spans="1:30" x14ac:dyDescent="0.25">
      <c r="A2" s="12" t="s">
        <v>24</v>
      </c>
      <c r="B2" s="13">
        <v>15386</v>
      </c>
      <c r="C2" s="13">
        <v>1</v>
      </c>
      <c r="D2" s="6">
        <v>1050</v>
      </c>
      <c r="E2" s="6">
        <v>385</v>
      </c>
      <c r="F2" s="7">
        <f t="shared" ref="F2:F151" si="0">10^4/(D2+273)</f>
        <v>7.5585789871504154</v>
      </c>
      <c r="G2" s="7" t="s">
        <v>25</v>
      </c>
      <c r="H2" s="14">
        <v>40.011400000000002</v>
      </c>
      <c r="I2" s="14">
        <v>0.24590000000000001</v>
      </c>
      <c r="J2" s="14">
        <v>2.2362000000000002</v>
      </c>
      <c r="K2" s="14">
        <v>7.0599999999999996E-2</v>
      </c>
      <c r="L2" s="14">
        <v>12.808299999999999</v>
      </c>
      <c r="M2" s="14">
        <v>0.31780000000000003</v>
      </c>
      <c r="N2" s="14">
        <v>27.649699999999999</v>
      </c>
      <c r="O2" s="14">
        <v>0.46460000000000001</v>
      </c>
      <c r="P2" s="14">
        <v>2.5552000000000001</v>
      </c>
      <c r="Q2" s="14">
        <v>5.8500000000000003E-2</v>
      </c>
      <c r="R2" s="14">
        <v>0.2175</v>
      </c>
      <c r="S2" s="14">
        <v>5.8000000000000003E-2</v>
      </c>
      <c r="T2" s="14">
        <v>9.3534000000000006</v>
      </c>
      <c r="U2" s="14">
        <v>0.18079999999999999</v>
      </c>
      <c r="V2" s="14">
        <v>1.5209999999999999</v>
      </c>
      <c r="W2" s="14">
        <v>0.16439999999999999</v>
      </c>
      <c r="X2" s="14">
        <v>0.67120000000000002</v>
      </c>
      <c r="Y2" s="14">
        <v>5.8999999999999997E-2</v>
      </c>
      <c r="Z2" s="14">
        <v>0.66779999999999995</v>
      </c>
      <c r="AA2" s="14">
        <v>7.2599999999999998E-2</v>
      </c>
      <c r="AB2" s="14">
        <v>1.3622000000000001</v>
      </c>
      <c r="AC2" s="14">
        <v>0.1212</v>
      </c>
      <c r="AD2" s="15">
        <f>SUM(H2,J2,L2,N2,P2,R2,T2,V2,X2,Z2,AB2)</f>
        <v>99.053900000000013</v>
      </c>
    </row>
    <row r="3" spans="1:30" x14ac:dyDescent="0.25">
      <c r="A3" s="12" t="s">
        <v>24</v>
      </c>
      <c r="B3" s="13">
        <v>15386</v>
      </c>
      <c r="C3" s="13">
        <v>2</v>
      </c>
      <c r="D3" s="6">
        <v>1050</v>
      </c>
      <c r="E3" s="6">
        <v>385</v>
      </c>
      <c r="F3" s="7">
        <f t="shared" si="0"/>
        <v>7.5585789871504154</v>
      </c>
      <c r="G3" s="7" t="s">
        <v>25</v>
      </c>
      <c r="H3" s="14">
        <v>39.345500000000001</v>
      </c>
      <c r="I3" s="14">
        <v>0.24390000000000001</v>
      </c>
      <c r="J3" s="14">
        <v>2.1480000000000001</v>
      </c>
      <c r="K3" s="14">
        <v>7.0400000000000004E-2</v>
      </c>
      <c r="L3" s="14">
        <v>13.0472</v>
      </c>
      <c r="M3" s="14">
        <v>0.32119999999999999</v>
      </c>
      <c r="N3" s="14">
        <v>27.783200000000001</v>
      </c>
      <c r="O3" s="14">
        <v>0.46579999999999999</v>
      </c>
      <c r="P3" s="14">
        <v>2.6204999999999998</v>
      </c>
      <c r="Q3" s="14">
        <v>5.9400000000000001E-2</v>
      </c>
      <c r="R3" s="14">
        <v>0.19869999999999999</v>
      </c>
      <c r="S3" s="14">
        <v>5.6399999999999999E-2</v>
      </c>
      <c r="T3" s="14">
        <v>9.2217000000000002</v>
      </c>
      <c r="U3" s="14">
        <v>0.17929999999999999</v>
      </c>
      <c r="V3" s="14">
        <v>1.4710000000000001</v>
      </c>
      <c r="W3" s="14">
        <v>0.1633</v>
      </c>
      <c r="X3" s="14">
        <v>0.70099999999999996</v>
      </c>
      <c r="Y3" s="14">
        <v>5.9900000000000002E-2</v>
      </c>
      <c r="Z3" s="14">
        <v>0.55549999999999999</v>
      </c>
      <c r="AA3" s="14">
        <v>6.59E-2</v>
      </c>
      <c r="AB3" s="14">
        <v>1.3893</v>
      </c>
      <c r="AC3" s="14">
        <v>0.122</v>
      </c>
      <c r="AD3" s="15">
        <f t="shared" ref="AD3:AD40" si="1">SUM(H3,J3,L3,N3,P3,R3,T3,V3,X3,Z3,AB3)</f>
        <v>98.4816</v>
      </c>
    </row>
    <row r="4" spans="1:30" x14ac:dyDescent="0.25">
      <c r="A4" s="12" t="s">
        <v>24</v>
      </c>
      <c r="B4" s="13">
        <v>15386</v>
      </c>
      <c r="C4" s="13">
        <v>3</v>
      </c>
      <c r="D4" s="6">
        <v>1050</v>
      </c>
      <c r="E4" s="6">
        <v>385</v>
      </c>
      <c r="F4" s="7">
        <f t="shared" si="0"/>
        <v>7.5585789871504154</v>
      </c>
      <c r="G4" s="7" t="s">
        <v>25</v>
      </c>
      <c r="H4" s="14">
        <v>39.384</v>
      </c>
      <c r="I4" s="14">
        <v>0.24390000000000001</v>
      </c>
      <c r="J4" s="14">
        <v>2.1631999999999998</v>
      </c>
      <c r="K4" s="14">
        <v>7.0300000000000001E-2</v>
      </c>
      <c r="L4" s="14">
        <v>12.663600000000001</v>
      </c>
      <c r="M4" s="14">
        <v>0.31640000000000001</v>
      </c>
      <c r="N4" s="14">
        <v>27.648399999999999</v>
      </c>
      <c r="O4" s="14">
        <v>0.46479999999999999</v>
      </c>
      <c r="P4" s="14">
        <v>2.6450999999999998</v>
      </c>
      <c r="Q4" s="14">
        <v>5.9200000000000003E-2</v>
      </c>
      <c r="R4" s="14">
        <v>0.25319999999999998</v>
      </c>
      <c r="S4" s="14">
        <v>5.7700000000000001E-2</v>
      </c>
      <c r="T4" s="14">
        <v>9.2477999999999998</v>
      </c>
      <c r="U4" s="14">
        <v>0.1799</v>
      </c>
      <c r="V4" s="14">
        <v>1.6076999999999999</v>
      </c>
      <c r="W4" s="14">
        <v>0.1686</v>
      </c>
      <c r="X4" s="14">
        <v>0.72950000000000004</v>
      </c>
      <c r="Y4" s="14">
        <v>6.0199999999999997E-2</v>
      </c>
      <c r="Z4" s="14">
        <v>0.57789999999999997</v>
      </c>
      <c r="AA4" s="14">
        <v>6.7500000000000004E-2</v>
      </c>
      <c r="AB4" s="14">
        <v>1.3811</v>
      </c>
      <c r="AC4" s="14">
        <v>0.1222</v>
      </c>
      <c r="AD4" s="15">
        <f t="shared" si="1"/>
        <v>98.301500000000004</v>
      </c>
    </row>
    <row r="5" spans="1:30" x14ac:dyDescent="0.25">
      <c r="A5" s="12" t="s">
        <v>24</v>
      </c>
      <c r="B5" s="13">
        <v>15386</v>
      </c>
      <c r="C5" s="13">
        <v>4</v>
      </c>
      <c r="D5" s="6">
        <v>1050</v>
      </c>
      <c r="E5" s="6">
        <v>385</v>
      </c>
      <c r="F5" s="7">
        <f t="shared" si="0"/>
        <v>7.5585789871504154</v>
      </c>
      <c r="G5" s="7" t="s">
        <v>25</v>
      </c>
      <c r="H5" s="14">
        <v>39.139800000000001</v>
      </c>
      <c r="I5" s="14">
        <v>0.2432</v>
      </c>
      <c r="J5" s="14">
        <v>2.1818</v>
      </c>
      <c r="K5" s="14">
        <v>7.0300000000000001E-2</v>
      </c>
      <c r="L5" s="14">
        <v>12.9872</v>
      </c>
      <c r="M5" s="14">
        <v>0.3201</v>
      </c>
      <c r="N5" s="14">
        <v>28.1374</v>
      </c>
      <c r="O5" s="14">
        <v>0.46970000000000001</v>
      </c>
      <c r="P5" s="14">
        <v>2.6301999999999999</v>
      </c>
      <c r="Q5" s="14">
        <v>5.9400000000000001E-2</v>
      </c>
      <c r="R5" s="14">
        <v>0.19969999999999999</v>
      </c>
      <c r="S5" s="14">
        <v>5.5199999999999999E-2</v>
      </c>
      <c r="T5" s="14">
        <v>9.3378999999999994</v>
      </c>
      <c r="U5" s="14">
        <v>0.18079999999999999</v>
      </c>
      <c r="V5" s="14">
        <v>1.337</v>
      </c>
      <c r="W5" s="14">
        <v>0.15570000000000001</v>
      </c>
      <c r="X5" s="14">
        <v>0.74070000000000003</v>
      </c>
      <c r="Y5" s="14">
        <v>6.0400000000000002E-2</v>
      </c>
      <c r="Z5" s="14">
        <v>0.55549999999999999</v>
      </c>
      <c r="AA5" s="14">
        <v>6.6100000000000006E-2</v>
      </c>
      <c r="AB5" s="14">
        <v>1.4065000000000001</v>
      </c>
      <c r="AC5" s="14">
        <v>0.1244</v>
      </c>
      <c r="AD5" s="15">
        <f t="shared" si="1"/>
        <v>98.653700000000015</v>
      </c>
    </row>
    <row r="6" spans="1:30" x14ac:dyDescent="0.25">
      <c r="A6" s="12" t="s">
        <v>24</v>
      </c>
      <c r="B6" s="13">
        <v>15386</v>
      </c>
      <c r="C6" s="13">
        <v>5</v>
      </c>
      <c r="D6" s="6">
        <v>1050</v>
      </c>
      <c r="E6" s="6">
        <v>385</v>
      </c>
      <c r="F6" s="7">
        <f t="shared" si="0"/>
        <v>7.5585789871504154</v>
      </c>
      <c r="G6" s="7" t="s">
        <v>25</v>
      </c>
      <c r="H6" s="14">
        <v>39.685299999999998</v>
      </c>
      <c r="I6" s="14">
        <v>0.24510000000000001</v>
      </c>
      <c r="J6" s="14">
        <v>2.1520000000000001</v>
      </c>
      <c r="K6" s="14">
        <v>6.9900000000000004E-2</v>
      </c>
      <c r="L6" s="14">
        <v>13.044</v>
      </c>
      <c r="M6" s="14">
        <v>0.32100000000000001</v>
      </c>
      <c r="N6" s="14">
        <v>27.964600000000001</v>
      </c>
      <c r="O6" s="14">
        <v>0.46850000000000003</v>
      </c>
      <c r="P6" s="14">
        <v>2.5712999999999999</v>
      </c>
      <c r="Q6" s="14">
        <v>5.8900000000000001E-2</v>
      </c>
      <c r="R6" s="14">
        <v>0.19989999999999999</v>
      </c>
      <c r="S6" s="14">
        <v>5.6000000000000001E-2</v>
      </c>
      <c r="T6" s="14">
        <v>9.2283000000000008</v>
      </c>
      <c r="U6" s="14">
        <v>0.18</v>
      </c>
      <c r="V6" s="14">
        <v>1.4610000000000001</v>
      </c>
      <c r="W6" s="14">
        <v>0.1628</v>
      </c>
      <c r="X6" s="14">
        <v>0.71350000000000002</v>
      </c>
      <c r="Y6" s="14">
        <v>5.96E-2</v>
      </c>
      <c r="Z6" s="14">
        <v>0.54479999999999995</v>
      </c>
      <c r="AA6" s="14">
        <v>6.7100000000000007E-2</v>
      </c>
      <c r="AB6" s="14">
        <v>1.4404999999999999</v>
      </c>
      <c r="AC6" s="14">
        <v>0.1237</v>
      </c>
      <c r="AD6" s="15">
        <f t="shared" si="1"/>
        <v>99.005199999999988</v>
      </c>
    </row>
    <row r="7" spans="1:30" x14ac:dyDescent="0.25">
      <c r="A7" s="2" t="s">
        <v>26</v>
      </c>
      <c r="B7" s="16">
        <v>15386</v>
      </c>
      <c r="C7" s="16">
        <v>1</v>
      </c>
      <c r="D7" s="8">
        <v>1060</v>
      </c>
      <c r="E7" s="8">
        <v>456</v>
      </c>
      <c r="F7" s="9">
        <f t="shared" si="0"/>
        <v>7.5018754688672171</v>
      </c>
      <c r="G7" s="9" t="s">
        <v>27</v>
      </c>
      <c r="H7" s="17">
        <v>47.01</v>
      </c>
      <c r="I7" s="17">
        <v>0.28710000000000002</v>
      </c>
      <c r="J7" s="17">
        <v>1.8992</v>
      </c>
      <c r="K7" s="17">
        <v>6.7100000000000007E-2</v>
      </c>
      <c r="L7" s="17">
        <v>13.3292</v>
      </c>
      <c r="M7" s="17">
        <v>0.30990000000000001</v>
      </c>
      <c r="N7" s="17">
        <v>1.1756</v>
      </c>
      <c r="O7" s="17">
        <v>9.5299999999999996E-2</v>
      </c>
      <c r="P7" s="17">
        <v>7.5682</v>
      </c>
      <c r="Q7" s="17">
        <v>9.1200000000000003E-2</v>
      </c>
      <c r="R7" s="17">
        <v>-6.6E-3</v>
      </c>
      <c r="S7" s="17">
        <v>4.1099999999999998E-2</v>
      </c>
      <c r="T7" s="17">
        <v>8.6414000000000009</v>
      </c>
      <c r="U7" s="17">
        <v>0.17749999999999999</v>
      </c>
      <c r="V7" s="17">
        <v>1.3758999999999999</v>
      </c>
      <c r="W7" s="17">
        <v>0.13880000000000001</v>
      </c>
      <c r="X7" s="17">
        <v>0.40450000000000003</v>
      </c>
      <c r="Y7" s="17">
        <v>4.8099999999999997E-2</v>
      </c>
      <c r="Z7" s="17">
        <v>0.63829999999999998</v>
      </c>
      <c r="AA7" s="17">
        <v>7.1400000000000005E-2</v>
      </c>
      <c r="AB7" s="17">
        <v>1.0661</v>
      </c>
      <c r="AC7" s="17">
        <v>0.1079</v>
      </c>
      <c r="AD7" s="18">
        <f t="shared" si="1"/>
        <v>83.101800000000011</v>
      </c>
    </row>
    <row r="8" spans="1:30" x14ac:dyDescent="0.25">
      <c r="A8" s="2" t="s">
        <v>26</v>
      </c>
      <c r="B8" s="16">
        <v>15386</v>
      </c>
      <c r="C8" s="16">
        <v>2</v>
      </c>
      <c r="D8" s="8">
        <v>1060</v>
      </c>
      <c r="E8" s="8">
        <v>456</v>
      </c>
      <c r="F8" s="9">
        <f t="shared" si="0"/>
        <v>7.5018754688672171</v>
      </c>
      <c r="G8" s="9" t="s">
        <v>27</v>
      </c>
      <c r="H8" s="17">
        <v>43.909500000000001</v>
      </c>
      <c r="I8" s="17">
        <v>0.27539999999999998</v>
      </c>
      <c r="J8" s="17">
        <v>1.9218</v>
      </c>
      <c r="K8" s="17">
        <v>6.7500000000000004E-2</v>
      </c>
      <c r="L8" s="17">
        <v>12.2052</v>
      </c>
      <c r="M8" s="17">
        <v>0.29530000000000001</v>
      </c>
      <c r="N8" s="17">
        <v>0.2354</v>
      </c>
      <c r="O8" s="17">
        <v>5.3800000000000001E-2</v>
      </c>
      <c r="P8" s="17">
        <v>6.0500999999999996</v>
      </c>
      <c r="Q8" s="17">
        <v>8.1000000000000003E-2</v>
      </c>
      <c r="R8" s="17">
        <v>7.7000000000000002E-3</v>
      </c>
      <c r="S8" s="17">
        <v>4.0399999999999998E-2</v>
      </c>
      <c r="T8" s="17">
        <v>8.7782999999999998</v>
      </c>
      <c r="U8" s="17">
        <v>0.17929999999999999</v>
      </c>
      <c r="V8" s="17">
        <v>1.1023000000000001</v>
      </c>
      <c r="W8" s="17">
        <v>0.1237</v>
      </c>
      <c r="X8" s="17">
        <v>0.4259</v>
      </c>
      <c r="Y8" s="17">
        <v>4.7600000000000003E-2</v>
      </c>
      <c r="Z8" s="17">
        <v>0.48670000000000002</v>
      </c>
      <c r="AA8" s="17">
        <v>6.5199999999999994E-2</v>
      </c>
      <c r="AB8" s="17">
        <v>0.83150000000000002</v>
      </c>
      <c r="AC8" s="17">
        <v>9.9199999999999997E-2</v>
      </c>
      <c r="AD8" s="18">
        <f t="shared" si="1"/>
        <v>75.954399999999993</v>
      </c>
    </row>
    <row r="9" spans="1:30" x14ac:dyDescent="0.25">
      <c r="A9" s="2" t="s">
        <v>26</v>
      </c>
      <c r="B9" s="16">
        <v>15386</v>
      </c>
      <c r="C9" s="16">
        <v>3</v>
      </c>
      <c r="D9" s="8">
        <v>1060</v>
      </c>
      <c r="E9" s="8">
        <v>456</v>
      </c>
      <c r="F9" s="9">
        <f t="shared" si="0"/>
        <v>7.5018754688672171</v>
      </c>
      <c r="G9" s="9" t="s">
        <v>27</v>
      </c>
      <c r="H9" s="17">
        <v>45.243000000000002</v>
      </c>
      <c r="I9" s="17">
        <v>0.28000000000000003</v>
      </c>
      <c r="J9" s="17">
        <v>1.9089</v>
      </c>
      <c r="K9" s="17">
        <v>6.8000000000000005E-2</v>
      </c>
      <c r="L9" s="17">
        <v>12.448700000000001</v>
      </c>
      <c r="M9" s="17">
        <v>0.29849999999999999</v>
      </c>
      <c r="N9" s="17">
        <v>0.89339999999999997</v>
      </c>
      <c r="O9" s="17">
        <v>8.48E-2</v>
      </c>
      <c r="P9" s="17">
        <v>5.8719999999999999</v>
      </c>
      <c r="Q9" s="17">
        <v>8.0199999999999994E-2</v>
      </c>
      <c r="R9" s="17">
        <v>2.98E-2</v>
      </c>
      <c r="S9" s="17">
        <v>4.1500000000000002E-2</v>
      </c>
      <c r="T9" s="17">
        <v>9.1880000000000006</v>
      </c>
      <c r="U9" s="17">
        <v>0.1837</v>
      </c>
      <c r="V9" s="17">
        <v>1.2941</v>
      </c>
      <c r="W9" s="17">
        <v>0.13489999999999999</v>
      </c>
      <c r="X9" s="17">
        <v>0.3926</v>
      </c>
      <c r="Y9" s="17">
        <v>4.7300000000000002E-2</v>
      </c>
      <c r="Z9" s="17">
        <v>0.69930000000000003</v>
      </c>
      <c r="AA9" s="17">
        <v>7.3499999999999996E-2</v>
      </c>
      <c r="AB9" s="17">
        <v>0.95630000000000004</v>
      </c>
      <c r="AC9" s="17">
        <v>0.10589999999999999</v>
      </c>
      <c r="AD9" s="18">
        <f t="shared" si="1"/>
        <v>78.926100000000005</v>
      </c>
    </row>
    <row r="10" spans="1:30" x14ac:dyDescent="0.25">
      <c r="A10" s="2" t="s">
        <v>26</v>
      </c>
      <c r="B10" s="16">
        <v>15386</v>
      </c>
      <c r="C10" s="16">
        <v>4</v>
      </c>
      <c r="D10" s="8">
        <v>1060</v>
      </c>
      <c r="E10" s="8">
        <v>456</v>
      </c>
      <c r="F10" s="9">
        <f t="shared" si="0"/>
        <v>7.5018754688672171</v>
      </c>
      <c r="G10" s="9" t="s">
        <v>27</v>
      </c>
      <c r="H10" s="17">
        <v>45.801099999999998</v>
      </c>
      <c r="I10" s="17">
        <v>0.28310000000000002</v>
      </c>
      <c r="J10" s="17">
        <v>1.8536999999999999</v>
      </c>
      <c r="K10" s="17">
        <v>6.6199999999999995E-2</v>
      </c>
      <c r="L10" s="17">
        <v>12.2944</v>
      </c>
      <c r="M10" s="17">
        <v>0.29799999999999999</v>
      </c>
      <c r="N10" s="17">
        <v>0.57440000000000002</v>
      </c>
      <c r="O10" s="17">
        <v>7.22E-2</v>
      </c>
      <c r="P10" s="17">
        <v>8.1829999999999998</v>
      </c>
      <c r="Q10" s="17">
        <v>9.4500000000000001E-2</v>
      </c>
      <c r="R10" s="17">
        <v>1.9800000000000002E-2</v>
      </c>
      <c r="S10" s="17">
        <v>4.07E-2</v>
      </c>
      <c r="T10" s="17">
        <v>6.9903000000000004</v>
      </c>
      <c r="U10" s="17">
        <v>0.15939999999999999</v>
      </c>
      <c r="V10" s="17">
        <v>1.3104</v>
      </c>
      <c r="W10" s="17">
        <v>0.13350000000000001</v>
      </c>
      <c r="X10" s="17">
        <v>0.37380000000000002</v>
      </c>
      <c r="Y10" s="17">
        <v>4.6100000000000002E-2</v>
      </c>
      <c r="Z10" s="17">
        <v>0.35870000000000002</v>
      </c>
      <c r="AA10" s="17">
        <v>5.7200000000000001E-2</v>
      </c>
      <c r="AB10" s="17">
        <v>0.72789999999999999</v>
      </c>
      <c r="AC10" s="17">
        <v>9.5200000000000007E-2</v>
      </c>
      <c r="AD10" s="18">
        <f t="shared" si="1"/>
        <v>78.487499999999997</v>
      </c>
    </row>
    <row r="11" spans="1:30" x14ac:dyDescent="0.25">
      <c r="A11" s="12" t="s">
        <v>28</v>
      </c>
      <c r="B11" s="13" t="s">
        <v>226</v>
      </c>
      <c r="C11" s="13">
        <v>1</v>
      </c>
      <c r="D11" s="6">
        <v>1060</v>
      </c>
      <c r="E11" s="6">
        <v>456</v>
      </c>
      <c r="F11" s="7">
        <f t="shared" si="0"/>
        <v>7.5018754688672171</v>
      </c>
      <c r="G11" s="7" t="s">
        <v>27</v>
      </c>
      <c r="H11" s="15">
        <v>61.168100000000003</v>
      </c>
      <c r="I11" s="15">
        <v>0.33450000000000002</v>
      </c>
      <c r="J11" s="15">
        <v>0.55369999999999997</v>
      </c>
      <c r="K11" s="15">
        <v>4.2500000000000003E-2</v>
      </c>
      <c r="L11" s="15">
        <v>15.1188</v>
      </c>
      <c r="M11" s="15">
        <v>0.3206</v>
      </c>
      <c r="N11" s="15">
        <v>0.16689999999999999</v>
      </c>
      <c r="O11" s="15">
        <v>5.3699999999999998E-2</v>
      </c>
      <c r="P11" s="15">
        <v>1.8453999999999999</v>
      </c>
      <c r="Q11" s="15">
        <v>4.5600000000000002E-2</v>
      </c>
      <c r="R11" s="15">
        <v>-1.9900000000000001E-2</v>
      </c>
      <c r="S11" s="15">
        <v>4.1599999999999998E-2</v>
      </c>
      <c r="T11" s="15">
        <v>4.3456000000000001</v>
      </c>
      <c r="U11" s="15">
        <v>0.12720000000000001</v>
      </c>
      <c r="V11" s="15">
        <v>1.3675999999999999</v>
      </c>
      <c r="W11" s="15">
        <v>0.1363</v>
      </c>
      <c r="X11" s="15">
        <v>4.8243999999999998</v>
      </c>
      <c r="Y11" s="15">
        <v>0.15210000000000001</v>
      </c>
      <c r="Z11" s="15">
        <v>0.26700000000000002</v>
      </c>
      <c r="AA11" s="15">
        <v>5.3100000000000001E-2</v>
      </c>
      <c r="AB11" s="15">
        <v>0.54079999999999995</v>
      </c>
      <c r="AC11" s="15">
        <v>8.5999999999999993E-2</v>
      </c>
      <c r="AD11" s="15">
        <f t="shared" si="1"/>
        <v>90.178399999999982</v>
      </c>
    </row>
    <row r="12" spans="1:30" x14ac:dyDescent="0.25">
      <c r="A12" s="12" t="s">
        <v>28</v>
      </c>
      <c r="B12" s="13" t="s">
        <v>226</v>
      </c>
      <c r="C12" s="13">
        <v>3</v>
      </c>
      <c r="D12" s="6">
        <v>1060</v>
      </c>
      <c r="E12" s="6">
        <v>456</v>
      </c>
      <c r="F12" s="7">
        <f t="shared" si="0"/>
        <v>7.5018754688672171</v>
      </c>
      <c r="G12" s="7" t="s">
        <v>27</v>
      </c>
      <c r="H12" s="15">
        <v>61.017200000000003</v>
      </c>
      <c r="I12" s="15">
        <v>0.33439999999999998</v>
      </c>
      <c r="J12" s="15">
        <v>0.57709999999999995</v>
      </c>
      <c r="K12" s="15">
        <v>4.2099999999999999E-2</v>
      </c>
      <c r="L12" s="15">
        <v>14.8355</v>
      </c>
      <c r="M12" s="15">
        <v>0.31830000000000003</v>
      </c>
      <c r="N12" s="15">
        <v>6.8599999999999994E-2</v>
      </c>
      <c r="O12" s="15">
        <v>4.8800000000000003E-2</v>
      </c>
      <c r="P12" s="15">
        <v>2.2241</v>
      </c>
      <c r="Q12" s="15">
        <v>4.99E-2</v>
      </c>
      <c r="R12" s="15">
        <v>4.4000000000000003E-3</v>
      </c>
      <c r="S12" s="15">
        <v>4.02E-2</v>
      </c>
      <c r="T12" s="15">
        <v>4.2881</v>
      </c>
      <c r="U12" s="15">
        <v>0.12609999999999999</v>
      </c>
      <c r="V12" s="15">
        <v>1.5712999999999999</v>
      </c>
      <c r="W12" s="15">
        <v>0.14549999999999999</v>
      </c>
      <c r="X12" s="15">
        <v>4.6257000000000001</v>
      </c>
      <c r="Y12" s="15">
        <v>0.14960000000000001</v>
      </c>
      <c r="Z12" s="15">
        <v>0.24929999999999999</v>
      </c>
      <c r="AA12" s="15">
        <v>4.7800000000000002E-2</v>
      </c>
      <c r="AB12" s="15">
        <v>0.48249999999999998</v>
      </c>
      <c r="AC12" s="15">
        <v>8.3299999999999999E-2</v>
      </c>
      <c r="AD12" s="15">
        <f t="shared" si="1"/>
        <v>89.943799999999996</v>
      </c>
    </row>
    <row r="13" spans="1:30" x14ac:dyDescent="0.25">
      <c r="A13" s="12" t="s">
        <v>28</v>
      </c>
      <c r="B13" s="13" t="s">
        <v>226</v>
      </c>
      <c r="C13" s="13">
        <v>4</v>
      </c>
      <c r="D13" s="6">
        <v>1060</v>
      </c>
      <c r="E13" s="6">
        <v>456</v>
      </c>
      <c r="F13" s="7">
        <f t="shared" si="0"/>
        <v>7.5018754688672171</v>
      </c>
      <c r="G13" s="7" t="s">
        <v>27</v>
      </c>
      <c r="H13" s="15">
        <v>60.613300000000002</v>
      </c>
      <c r="I13" s="15">
        <v>0.33260000000000001</v>
      </c>
      <c r="J13" s="15">
        <v>0.55959999999999999</v>
      </c>
      <c r="K13" s="15">
        <v>4.1799999999999997E-2</v>
      </c>
      <c r="L13" s="15">
        <v>14.994899999999999</v>
      </c>
      <c r="M13" s="15">
        <v>0.31940000000000002</v>
      </c>
      <c r="N13" s="15">
        <v>0.27689999999999998</v>
      </c>
      <c r="O13" s="15">
        <v>5.9200000000000003E-2</v>
      </c>
      <c r="P13" s="15">
        <v>1.5985</v>
      </c>
      <c r="Q13" s="15">
        <v>4.2700000000000002E-2</v>
      </c>
      <c r="R13" s="15">
        <v>1.66E-2</v>
      </c>
      <c r="S13" s="15">
        <v>4.1700000000000001E-2</v>
      </c>
      <c r="T13" s="15">
        <v>4.4405000000000001</v>
      </c>
      <c r="U13" s="15">
        <v>0.1288</v>
      </c>
      <c r="V13" s="15">
        <v>1.5422</v>
      </c>
      <c r="W13" s="15">
        <v>0.1444</v>
      </c>
      <c r="X13" s="15">
        <v>4.8311999999999999</v>
      </c>
      <c r="Y13" s="15">
        <v>0.15260000000000001</v>
      </c>
      <c r="Z13" s="15">
        <v>0.15659999999999999</v>
      </c>
      <c r="AA13" s="15">
        <v>4.4999999999999998E-2</v>
      </c>
      <c r="AB13" s="15">
        <v>0.53849999999999998</v>
      </c>
      <c r="AC13" s="15">
        <v>8.5300000000000001E-2</v>
      </c>
      <c r="AD13" s="15">
        <f t="shared" si="1"/>
        <v>89.568799999999982</v>
      </c>
    </row>
    <row r="14" spans="1:30" x14ac:dyDescent="0.25">
      <c r="A14" s="2" t="s">
        <v>29</v>
      </c>
      <c r="B14" s="16">
        <v>15386</v>
      </c>
      <c r="C14" s="16">
        <v>1</v>
      </c>
      <c r="D14" s="8">
        <v>1080</v>
      </c>
      <c r="E14" s="8">
        <v>414</v>
      </c>
      <c r="F14" s="9">
        <f t="shared" si="0"/>
        <v>7.390983000739098</v>
      </c>
      <c r="G14" s="9" t="s">
        <v>27</v>
      </c>
      <c r="H14" s="17">
        <v>44.3536</v>
      </c>
      <c r="I14" s="17">
        <v>0.31580000000000003</v>
      </c>
      <c r="J14" s="17">
        <v>1.7957000000000001</v>
      </c>
      <c r="K14" s="17">
        <v>6.59E-2</v>
      </c>
      <c r="L14" s="17">
        <v>11.5443</v>
      </c>
      <c r="M14" s="17">
        <v>0.29210000000000003</v>
      </c>
      <c r="N14" s="17">
        <v>0.78459999999999996</v>
      </c>
      <c r="O14" s="17">
        <v>8.0100000000000005E-2</v>
      </c>
      <c r="P14" s="17">
        <v>8.0878999999999994</v>
      </c>
      <c r="Q14" s="17">
        <v>9.3899999999999997E-2</v>
      </c>
      <c r="R14" s="17">
        <v>0</v>
      </c>
      <c r="S14" s="17">
        <v>4.2799999999999998E-2</v>
      </c>
      <c r="T14" s="17">
        <v>7.8456999999999999</v>
      </c>
      <c r="U14" s="17">
        <v>0.1691</v>
      </c>
      <c r="V14" s="17">
        <v>0.95079999999999998</v>
      </c>
      <c r="W14" s="17">
        <v>0.1164</v>
      </c>
      <c r="X14" s="17">
        <v>0.36480000000000001</v>
      </c>
      <c r="Y14" s="17">
        <v>4.6100000000000002E-2</v>
      </c>
      <c r="Z14" s="17">
        <v>0.56799999999999995</v>
      </c>
      <c r="AA14" s="17">
        <v>6.6199999999999995E-2</v>
      </c>
      <c r="AB14" s="17">
        <v>1.1415999999999999</v>
      </c>
      <c r="AC14" s="17">
        <v>0.1111</v>
      </c>
      <c r="AD14" s="18">
        <f t="shared" si="1"/>
        <v>77.436999999999983</v>
      </c>
    </row>
    <row r="15" spans="1:30" x14ac:dyDescent="0.25">
      <c r="A15" s="2" t="s">
        <v>29</v>
      </c>
      <c r="B15" s="16">
        <v>15386</v>
      </c>
      <c r="C15" s="16">
        <v>2</v>
      </c>
      <c r="D15" s="8">
        <v>1080</v>
      </c>
      <c r="E15" s="8">
        <v>414</v>
      </c>
      <c r="F15" s="9">
        <f t="shared" si="0"/>
        <v>7.390983000739098</v>
      </c>
      <c r="G15" s="9" t="s">
        <v>27</v>
      </c>
      <c r="H15" s="17">
        <v>45.778199999999998</v>
      </c>
      <c r="I15" s="17">
        <v>0.32229999999999998</v>
      </c>
      <c r="J15" s="17">
        <v>1.7770999999999999</v>
      </c>
      <c r="K15" s="17">
        <v>6.5100000000000005E-2</v>
      </c>
      <c r="L15" s="17">
        <v>11.6356</v>
      </c>
      <c r="M15" s="17">
        <v>0.29210000000000003</v>
      </c>
      <c r="N15" s="17">
        <v>0.83809999999999996</v>
      </c>
      <c r="O15" s="17">
        <v>8.1799999999999998E-2</v>
      </c>
      <c r="P15" s="17">
        <v>6.9024999999999999</v>
      </c>
      <c r="Q15" s="17">
        <v>8.6599999999999996E-2</v>
      </c>
      <c r="R15" s="17">
        <v>3.0800000000000001E-2</v>
      </c>
      <c r="S15" s="17">
        <v>3.9399999999999998E-2</v>
      </c>
      <c r="T15" s="17">
        <v>8.1234999999999999</v>
      </c>
      <c r="U15" s="17">
        <v>0.17180000000000001</v>
      </c>
      <c r="V15" s="17">
        <v>1.0373000000000001</v>
      </c>
      <c r="W15" s="17">
        <v>0.12139999999999999</v>
      </c>
      <c r="X15" s="17">
        <v>0.35510000000000003</v>
      </c>
      <c r="Y15" s="17">
        <v>4.5499999999999999E-2</v>
      </c>
      <c r="Z15" s="17">
        <v>0.45889999999999997</v>
      </c>
      <c r="AA15" s="17">
        <v>6.4399999999999999E-2</v>
      </c>
      <c r="AB15" s="17">
        <v>1.0407999999999999</v>
      </c>
      <c r="AC15" s="17">
        <v>0.10970000000000001</v>
      </c>
      <c r="AD15" s="18">
        <f t="shared" si="1"/>
        <v>77.977900000000005</v>
      </c>
    </row>
    <row r="16" spans="1:30" x14ac:dyDescent="0.25">
      <c r="A16" s="2" t="s">
        <v>29</v>
      </c>
      <c r="B16" s="16">
        <v>15386</v>
      </c>
      <c r="C16" s="16">
        <v>3</v>
      </c>
      <c r="D16" s="8">
        <v>1080</v>
      </c>
      <c r="E16" s="8">
        <v>414</v>
      </c>
      <c r="F16" s="9">
        <f t="shared" si="0"/>
        <v>7.390983000739098</v>
      </c>
      <c r="G16" s="9" t="s">
        <v>27</v>
      </c>
      <c r="H16" s="17">
        <v>43.622399999999999</v>
      </c>
      <c r="I16" s="17">
        <v>0.31180000000000002</v>
      </c>
      <c r="J16" s="17">
        <v>1.7327999999999999</v>
      </c>
      <c r="K16" s="17">
        <v>6.4100000000000004E-2</v>
      </c>
      <c r="L16" s="17">
        <v>11.864599999999999</v>
      </c>
      <c r="M16" s="17">
        <v>0.29580000000000001</v>
      </c>
      <c r="N16" s="17">
        <v>0.64759999999999995</v>
      </c>
      <c r="O16" s="17">
        <v>7.3300000000000004E-2</v>
      </c>
      <c r="P16" s="17">
        <v>7.4359999999999999</v>
      </c>
      <c r="Q16" s="17">
        <v>9.01E-2</v>
      </c>
      <c r="R16" s="17">
        <v>9.9000000000000008E-3</v>
      </c>
      <c r="S16" s="17">
        <v>4.1399999999999999E-2</v>
      </c>
      <c r="T16" s="17">
        <v>8.7604000000000006</v>
      </c>
      <c r="U16" s="17">
        <v>0.17849999999999999</v>
      </c>
      <c r="V16" s="17">
        <v>1.0872999999999999</v>
      </c>
      <c r="W16" s="17">
        <v>0.12429999999999999</v>
      </c>
      <c r="X16" s="17">
        <v>0.43080000000000002</v>
      </c>
      <c r="Y16" s="17">
        <v>4.8899999999999999E-2</v>
      </c>
      <c r="Z16" s="17">
        <v>0.6048</v>
      </c>
      <c r="AA16" s="17">
        <v>7.17E-2</v>
      </c>
      <c r="AB16" s="17">
        <v>1.1801999999999999</v>
      </c>
      <c r="AC16" s="17">
        <v>0.1166</v>
      </c>
      <c r="AD16" s="18">
        <f t="shared" si="1"/>
        <v>77.376799999999989</v>
      </c>
    </row>
    <row r="17" spans="1:30" x14ac:dyDescent="0.25">
      <c r="A17" s="2" t="s">
        <v>29</v>
      </c>
      <c r="B17" s="16">
        <v>15386</v>
      </c>
      <c r="C17" s="16">
        <v>5</v>
      </c>
      <c r="D17" s="8">
        <v>1080</v>
      </c>
      <c r="E17" s="8">
        <v>414</v>
      </c>
      <c r="F17" s="9">
        <f t="shared" si="0"/>
        <v>7.390983000739098</v>
      </c>
      <c r="G17" s="9" t="s">
        <v>27</v>
      </c>
      <c r="H17" s="17">
        <v>49.866999999999997</v>
      </c>
      <c r="I17" s="17">
        <v>0.34150000000000003</v>
      </c>
      <c r="J17" s="17">
        <v>1.4845999999999999</v>
      </c>
      <c r="K17" s="17">
        <v>6.0999999999999999E-2</v>
      </c>
      <c r="L17" s="17">
        <v>10.358599999999999</v>
      </c>
      <c r="M17" s="17">
        <v>0.27429999999999999</v>
      </c>
      <c r="N17" s="17">
        <v>0.57889999999999997</v>
      </c>
      <c r="O17" s="17">
        <v>7.1400000000000005E-2</v>
      </c>
      <c r="P17" s="17">
        <v>6.3948999999999998</v>
      </c>
      <c r="Q17" s="17">
        <v>8.3299999999999999E-2</v>
      </c>
      <c r="R17" s="17">
        <v>-3.0800000000000001E-2</v>
      </c>
      <c r="S17" s="17">
        <v>4.0099999999999997E-2</v>
      </c>
      <c r="T17" s="17">
        <v>7.1398000000000001</v>
      </c>
      <c r="U17" s="17">
        <v>0.16120000000000001</v>
      </c>
      <c r="V17" s="17">
        <v>0.91749999999999998</v>
      </c>
      <c r="W17" s="17">
        <v>0.11459999999999999</v>
      </c>
      <c r="X17" s="17">
        <v>0.3574</v>
      </c>
      <c r="Y17" s="17">
        <v>4.4900000000000002E-2</v>
      </c>
      <c r="Z17" s="17">
        <v>0.56130000000000002</v>
      </c>
      <c r="AA17" s="17">
        <v>6.4699999999999994E-2</v>
      </c>
      <c r="AB17" s="17">
        <v>0.99660000000000004</v>
      </c>
      <c r="AC17" s="17">
        <v>0.1072</v>
      </c>
      <c r="AD17" s="18">
        <f t="shared" si="1"/>
        <v>78.625799999999998</v>
      </c>
    </row>
    <row r="18" spans="1:30" x14ac:dyDescent="0.25">
      <c r="A18" s="12" t="s">
        <v>30</v>
      </c>
      <c r="B18" s="13" t="s">
        <v>227</v>
      </c>
      <c r="C18" s="13">
        <v>1</v>
      </c>
      <c r="D18" s="6">
        <v>1080</v>
      </c>
      <c r="E18" s="6">
        <v>414</v>
      </c>
      <c r="F18" s="7">
        <f t="shared" si="0"/>
        <v>7.390983000739098</v>
      </c>
      <c r="G18" s="7" t="s">
        <v>27</v>
      </c>
      <c r="H18" s="15">
        <v>42.433599999999998</v>
      </c>
      <c r="I18" s="15">
        <v>0.30609999999999998</v>
      </c>
      <c r="J18" s="15">
        <v>0.42580000000000001</v>
      </c>
      <c r="K18" s="15">
        <v>3.8800000000000001E-2</v>
      </c>
      <c r="L18" s="15">
        <v>7.1749999999999998</v>
      </c>
      <c r="M18" s="15">
        <v>0.24030000000000001</v>
      </c>
      <c r="N18" s="15">
        <v>39.473700000000001</v>
      </c>
      <c r="O18" s="15">
        <v>0.58330000000000004</v>
      </c>
      <c r="P18" s="15">
        <v>0.28589999999999999</v>
      </c>
      <c r="Q18" s="15">
        <v>2.64E-2</v>
      </c>
      <c r="R18" s="15">
        <v>0.14899999999999999</v>
      </c>
      <c r="S18" s="15">
        <v>5.45E-2</v>
      </c>
      <c r="T18" s="15">
        <v>0.72629999999999995</v>
      </c>
      <c r="U18" s="15">
        <v>5.5300000000000002E-2</v>
      </c>
      <c r="V18" s="15">
        <v>0.29509999999999997</v>
      </c>
      <c r="W18" s="15">
        <v>8.9200000000000002E-2</v>
      </c>
      <c r="X18" s="15">
        <v>3.4129999999999998</v>
      </c>
      <c r="Y18" s="15">
        <v>0.1245</v>
      </c>
      <c r="Z18" s="15">
        <v>-1.89E-2</v>
      </c>
      <c r="AA18" s="15">
        <v>3.0700000000000002E-2</v>
      </c>
      <c r="AB18" s="15">
        <v>1.3625</v>
      </c>
      <c r="AC18" s="15">
        <v>0.1183</v>
      </c>
      <c r="AD18" s="15">
        <f t="shared" si="1"/>
        <v>95.720999999999989</v>
      </c>
    </row>
    <row r="19" spans="1:30" x14ac:dyDescent="0.25">
      <c r="A19" s="12" t="s">
        <v>30</v>
      </c>
      <c r="B19" s="13" t="s">
        <v>227</v>
      </c>
      <c r="C19" s="13">
        <v>2</v>
      </c>
      <c r="D19" s="6">
        <v>1080</v>
      </c>
      <c r="E19" s="6">
        <v>414</v>
      </c>
      <c r="F19" s="7">
        <f t="shared" si="0"/>
        <v>7.390983000739098</v>
      </c>
      <c r="G19" s="7" t="s">
        <v>27</v>
      </c>
      <c r="H19" s="15">
        <v>42.771299999999997</v>
      </c>
      <c r="I19" s="15">
        <v>0.308</v>
      </c>
      <c r="J19" s="15">
        <v>0.43190000000000001</v>
      </c>
      <c r="K19" s="15">
        <v>3.9600000000000003E-2</v>
      </c>
      <c r="L19" s="15">
        <v>7.6128999999999998</v>
      </c>
      <c r="M19" s="15">
        <v>0.2475</v>
      </c>
      <c r="N19" s="15">
        <v>39.235500000000002</v>
      </c>
      <c r="O19" s="15">
        <v>0.58140000000000003</v>
      </c>
      <c r="P19" s="15">
        <v>0.31879999999999997</v>
      </c>
      <c r="Q19" s="15">
        <v>2.7300000000000001E-2</v>
      </c>
      <c r="R19" s="15">
        <v>0.1094</v>
      </c>
      <c r="S19" s="15">
        <v>5.2900000000000003E-2</v>
      </c>
      <c r="T19" s="15">
        <v>0.64649999999999996</v>
      </c>
      <c r="U19" s="15">
        <v>5.3600000000000002E-2</v>
      </c>
      <c r="V19" s="15">
        <v>0.34150000000000003</v>
      </c>
      <c r="W19" s="15">
        <v>9.1600000000000001E-2</v>
      </c>
      <c r="X19" s="15">
        <v>3.5405000000000002</v>
      </c>
      <c r="Y19" s="15">
        <v>0.127</v>
      </c>
      <c r="Z19" s="15">
        <v>2.3E-2</v>
      </c>
      <c r="AA19" s="15">
        <v>3.09E-2</v>
      </c>
      <c r="AB19" s="15">
        <v>1.3103</v>
      </c>
      <c r="AC19" s="15">
        <v>0.1193</v>
      </c>
      <c r="AD19" s="15">
        <f t="shared" si="1"/>
        <v>96.341599999999971</v>
      </c>
    </row>
    <row r="20" spans="1:30" x14ac:dyDescent="0.25">
      <c r="A20" s="12" t="s">
        <v>30</v>
      </c>
      <c r="B20" s="13" t="s">
        <v>227</v>
      </c>
      <c r="C20" s="13">
        <v>3</v>
      </c>
      <c r="D20" s="6">
        <v>1080</v>
      </c>
      <c r="E20" s="6">
        <v>414</v>
      </c>
      <c r="F20" s="7">
        <f t="shared" si="0"/>
        <v>7.390983000739098</v>
      </c>
      <c r="G20" s="7" t="s">
        <v>27</v>
      </c>
      <c r="H20" s="15">
        <v>42.523099999999999</v>
      </c>
      <c r="I20" s="15">
        <v>0.30669999999999997</v>
      </c>
      <c r="J20" s="15">
        <v>0.41970000000000002</v>
      </c>
      <c r="K20" s="15">
        <v>3.9300000000000002E-2</v>
      </c>
      <c r="L20" s="15">
        <v>7.2073</v>
      </c>
      <c r="M20" s="15">
        <v>0.24099999999999999</v>
      </c>
      <c r="N20" s="15">
        <v>39.863300000000002</v>
      </c>
      <c r="O20" s="15">
        <v>0.58709999999999996</v>
      </c>
      <c r="P20" s="15">
        <v>0.31569999999999998</v>
      </c>
      <c r="Q20" s="15">
        <v>2.7099999999999999E-2</v>
      </c>
      <c r="R20" s="15">
        <v>0.11840000000000001</v>
      </c>
      <c r="S20" s="15">
        <v>5.33E-2</v>
      </c>
      <c r="T20" s="15">
        <v>0.71409999999999996</v>
      </c>
      <c r="U20" s="15">
        <v>5.5500000000000001E-2</v>
      </c>
      <c r="V20" s="15">
        <v>0.33300000000000002</v>
      </c>
      <c r="W20" s="15">
        <v>9.4E-2</v>
      </c>
      <c r="X20" s="15">
        <v>3.5975999999999999</v>
      </c>
      <c r="Y20" s="15">
        <v>0.1278</v>
      </c>
      <c r="Z20" s="15">
        <v>4.8399999999999999E-2</v>
      </c>
      <c r="AA20" s="15">
        <v>2.9700000000000001E-2</v>
      </c>
      <c r="AB20" s="15">
        <v>1.3171999999999999</v>
      </c>
      <c r="AC20" s="15">
        <v>0.1197</v>
      </c>
      <c r="AD20" s="15">
        <f t="shared" si="1"/>
        <v>96.457799999999992</v>
      </c>
    </row>
    <row r="21" spans="1:30" x14ac:dyDescent="0.25">
      <c r="A21" s="12" t="s">
        <v>30</v>
      </c>
      <c r="B21" s="13" t="s">
        <v>227</v>
      </c>
      <c r="C21" s="13">
        <v>4</v>
      </c>
      <c r="D21" s="6">
        <v>1080</v>
      </c>
      <c r="E21" s="6">
        <v>414</v>
      </c>
      <c r="F21" s="7">
        <f t="shared" si="0"/>
        <v>7.390983000739098</v>
      </c>
      <c r="G21" s="7" t="s">
        <v>27</v>
      </c>
      <c r="H21" s="15">
        <v>42.246499999999997</v>
      </c>
      <c r="I21" s="15">
        <v>0.3054</v>
      </c>
      <c r="J21" s="15">
        <v>0.40589999999999998</v>
      </c>
      <c r="K21" s="15">
        <v>4.0300000000000002E-2</v>
      </c>
      <c r="L21" s="15">
        <v>7.1962000000000002</v>
      </c>
      <c r="M21" s="15">
        <v>0.24049999999999999</v>
      </c>
      <c r="N21" s="15">
        <v>39.378500000000003</v>
      </c>
      <c r="O21" s="15">
        <v>0.58260000000000001</v>
      </c>
      <c r="P21" s="15">
        <v>0.3201</v>
      </c>
      <c r="Q21" s="15">
        <v>2.7400000000000001E-2</v>
      </c>
      <c r="R21" s="15">
        <v>0.16120000000000001</v>
      </c>
      <c r="S21" s="15">
        <v>5.3499999999999999E-2</v>
      </c>
      <c r="T21" s="15">
        <v>0.65890000000000004</v>
      </c>
      <c r="U21" s="15">
        <v>5.3199999999999997E-2</v>
      </c>
      <c r="V21" s="15">
        <v>0.3629</v>
      </c>
      <c r="W21" s="15">
        <v>9.5500000000000002E-2</v>
      </c>
      <c r="X21" s="15">
        <v>3.4337</v>
      </c>
      <c r="Y21" s="15">
        <v>0.1246</v>
      </c>
      <c r="Z21" s="15">
        <v>-1.6299999999999999E-2</v>
      </c>
      <c r="AA21" s="15">
        <v>3.2500000000000001E-2</v>
      </c>
      <c r="AB21" s="15">
        <v>1.3424</v>
      </c>
      <c r="AC21" s="15">
        <v>0.1173</v>
      </c>
      <c r="AD21" s="15">
        <f t="shared" si="1"/>
        <v>95.49</v>
      </c>
    </row>
    <row r="22" spans="1:30" x14ac:dyDescent="0.25">
      <c r="A22" s="12" t="s">
        <v>30</v>
      </c>
      <c r="B22" s="13" t="s">
        <v>227</v>
      </c>
      <c r="C22" s="13">
        <v>5</v>
      </c>
      <c r="D22" s="6">
        <v>1080</v>
      </c>
      <c r="E22" s="6">
        <v>414</v>
      </c>
      <c r="F22" s="7">
        <f t="shared" si="0"/>
        <v>7.390983000739098</v>
      </c>
      <c r="G22" s="7" t="s">
        <v>27</v>
      </c>
      <c r="H22" s="15">
        <v>41.681600000000003</v>
      </c>
      <c r="I22" s="15">
        <v>0.30259999999999998</v>
      </c>
      <c r="J22" s="15">
        <v>0.41610000000000003</v>
      </c>
      <c r="K22" s="15">
        <v>3.9199999999999999E-2</v>
      </c>
      <c r="L22" s="15">
        <v>7.3791000000000002</v>
      </c>
      <c r="M22" s="15">
        <v>0.24399999999999999</v>
      </c>
      <c r="N22" s="15">
        <v>39.569600000000001</v>
      </c>
      <c r="O22" s="15">
        <v>0.58399999999999996</v>
      </c>
      <c r="P22" s="15">
        <v>0.33129999999999998</v>
      </c>
      <c r="Q22" s="15">
        <v>2.7300000000000001E-2</v>
      </c>
      <c r="R22" s="15">
        <v>0.1479</v>
      </c>
      <c r="S22" s="15">
        <v>5.5599999999999997E-2</v>
      </c>
      <c r="T22" s="15">
        <v>0.69289999999999996</v>
      </c>
      <c r="U22" s="15">
        <v>5.4300000000000001E-2</v>
      </c>
      <c r="V22" s="15">
        <v>0.45279999999999998</v>
      </c>
      <c r="W22" s="15">
        <v>0.1018</v>
      </c>
      <c r="X22" s="15">
        <v>3.4451000000000001</v>
      </c>
      <c r="Y22" s="15">
        <v>0.12479999999999999</v>
      </c>
      <c r="Z22" s="15">
        <v>-1.5299999999999999E-2</v>
      </c>
      <c r="AA22" s="15">
        <v>3.1099999999999999E-2</v>
      </c>
      <c r="AB22" s="15">
        <v>1.2508999999999999</v>
      </c>
      <c r="AC22" s="15">
        <v>0.1169</v>
      </c>
      <c r="AD22" s="15">
        <f t="shared" si="1"/>
        <v>95.352000000000004</v>
      </c>
    </row>
    <row r="23" spans="1:30" x14ac:dyDescent="0.25">
      <c r="A23" s="2" t="s">
        <v>31</v>
      </c>
      <c r="B23" s="16" t="s">
        <v>226</v>
      </c>
      <c r="C23" s="16">
        <v>2</v>
      </c>
      <c r="D23" s="8">
        <v>1080</v>
      </c>
      <c r="E23" s="8">
        <v>414</v>
      </c>
      <c r="F23" s="9">
        <f t="shared" si="0"/>
        <v>7.390983000739098</v>
      </c>
      <c r="G23" s="9" t="s">
        <v>27</v>
      </c>
      <c r="H23" s="17">
        <v>62.107300000000002</v>
      </c>
      <c r="I23" s="17">
        <v>0.39839999999999998</v>
      </c>
      <c r="J23" s="17">
        <v>0.5948</v>
      </c>
      <c r="K23" s="17">
        <v>4.2500000000000003E-2</v>
      </c>
      <c r="L23" s="17">
        <v>14.9291</v>
      </c>
      <c r="M23" s="17">
        <v>0.3231</v>
      </c>
      <c r="N23" s="17">
        <v>0.67959999999999998</v>
      </c>
      <c r="O23" s="17">
        <v>7.6100000000000001E-2</v>
      </c>
      <c r="P23" s="17">
        <v>1.8817999999999999</v>
      </c>
      <c r="Q23" s="17">
        <v>4.5999999999999999E-2</v>
      </c>
      <c r="R23" s="17">
        <v>1.6400000000000001E-2</v>
      </c>
      <c r="S23" s="17">
        <v>4.0599999999999997E-2</v>
      </c>
      <c r="T23" s="17">
        <v>4.3470000000000004</v>
      </c>
      <c r="U23" s="17">
        <v>0.1268</v>
      </c>
      <c r="V23" s="17">
        <v>1.6564000000000001</v>
      </c>
      <c r="W23" s="17">
        <v>0.14910000000000001</v>
      </c>
      <c r="X23" s="17">
        <v>4.9322999999999997</v>
      </c>
      <c r="Y23" s="17">
        <v>0.15340000000000001</v>
      </c>
      <c r="Z23" s="17">
        <v>0.24729999999999999</v>
      </c>
      <c r="AA23" s="17">
        <v>4.9200000000000001E-2</v>
      </c>
      <c r="AB23" s="17">
        <v>0.69889999999999997</v>
      </c>
      <c r="AC23" s="17">
        <v>9.1800000000000007E-2</v>
      </c>
      <c r="AD23" s="18">
        <f t="shared" si="1"/>
        <v>92.090899999999991</v>
      </c>
    </row>
    <row r="24" spans="1:30" x14ac:dyDescent="0.25">
      <c r="A24" s="2" t="s">
        <v>31</v>
      </c>
      <c r="B24" s="16" t="s">
        <v>226</v>
      </c>
      <c r="C24" s="16">
        <v>3</v>
      </c>
      <c r="D24" s="8">
        <v>1080</v>
      </c>
      <c r="E24" s="8">
        <v>414</v>
      </c>
      <c r="F24" s="9">
        <f t="shared" si="0"/>
        <v>7.390983000739098</v>
      </c>
      <c r="G24" s="9" t="s">
        <v>27</v>
      </c>
      <c r="H24" s="17">
        <v>61.143900000000002</v>
      </c>
      <c r="I24" s="17">
        <v>0.39419999999999999</v>
      </c>
      <c r="J24" s="17">
        <v>0.55589999999999995</v>
      </c>
      <c r="K24" s="17">
        <v>4.2799999999999998E-2</v>
      </c>
      <c r="L24" s="17">
        <v>15.012</v>
      </c>
      <c r="M24" s="17">
        <v>0.3246</v>
      </c>
      <c r="N24" s="17">
        <v>0.50329999999999997</v>
      </c>
      <c r="O24" s="17">
        <v>7.0699999999999999E-2</v>
      </c>
      <c r="P24" s="17">
        <v>2.6928999999999998</v>
      </c>
      <c r="Q24" s="17">
        <v>5.4199999999999998E-2</v>
      </c>
      <c r="R24" s="17">
        <v>3.2899999999999999E-2</v>
      </c>
      <c r="S24" s="17">
        <v>4.3099999999999999E-2</v>
      </c>
      <c r="T24" s="17">
        <v>4.2443</v>
      </c>
      <c r="U24" s="17">
        <v>0.12509999999999999</v>
      </c>
      <c r="V24" s="17">
        <v>1.6867000000000001</v>
      </c>
      <c r="W24" s="17">
        <v>0.14979999999999999</v>
      </c>
      <c r="X24" s="17">
        <v>4.7957000000000001</v>
      </c>
      <c r="Y24" s="17">
        <v>0.1512</v>
      </c>
      <c r="Z24" s="17">
        <v>0.19239999999999999</v>
      </c>
      <c r="AA24" s="17">
        <v>4.5699999999999998E-2</v>
      </c>
      <c r="AB24" s="17">
        <v>0.69589999999999996</v>
      </c>
      <c r="AC24" s="17">
        <v>9.4299999999999995E-2</v>
      </c>
      <c r="AD24" s="18">
        <f t="shared" si="1"/>
        <v>91.555899999999994</v>
      </c>
    </row>
    <row r="25" spans="1:30" x14ac:dyDescent="0.25">
      <c r="A25" s="2" t="s">
        <v>31</v>
      </c>
      <c r="B25" s="16" t="s">
        <v>226</v>
      </c>
      <c r="C25" s="16">
        <v>4</v>
      </c>
      <c r="D25" s="8">
        <v>1080</v>
      </c>
      <c r="E25" s="8">
        <v>414</v>
      </c>
      <c r="F25" s="9">
        <f t="shared" si="0"/>
        <v>7.390983000739098</v>
      </c>
      <c r="G25" s="9" t="s">
        <v>27</v>
      </c>
      <c r="H25" s="17">
        <v>60.537999999999997</v>
      </c>
      <c r="I25" s="17">
        <v>0.3911</v>
      </c>
      <c r="J25" s="17">
        <v>0.5494</v>
      </c>
      <c r="K25" s="17">
        <v>4.1799999999999997E-2</v>
      </c>
      <c r="L25" s="17">
        <v>14.12</v>
      </c>
      <c r="M25" s="17">
        <v>0.31409999999999999</v>
      </c>
      <c r="N25" s="17">
        <v>0.67490000000000006</v>
      </c>
      <c r="O25" s="17">
        <v>7.7399999999999997E-2</v>
      </c>
      <c r="P25" s="17">
        <v>2.0657000000000001</v>
      </c>
      <c r="Q25" s="17">
        <v>4.8000000000000001E-2</v>
      </c>
      <c r="R25" s="17">
        <v>1.54E-2</v>
      </c>
      <c r="S25" s="17">
        <v>3.9800000000000002E-2</v>
      </c>
      <c r="T25" s="17">
        <v>4.1119000000000003</v>
      </c>
      <c r="U25" s="17">
        <v>0.1234</v>
      </c>
      <c r="V25" s="17">
        <v>1.4675</v>
      </c>
      <c r="W25" s="17">
        <v>0.14050000000000001</v>
      </c>
      <c r="X25" s="17">
        <v>4.7077</v>
      </c>
      <c r="Y25" s="17">
        <v>0.15060000000000001</v>
      </c>
      <c r="Z25" s="17">
        <v>0.2072</v>
      </c>
      <c r="AA25" s="17">
        <v>4.7399999999999998E-2</v>
      </c>
      <c r="AB25" s="17">
        <v>0.59419999999999995</v>
      </c>
      <c r="AC25" s="17">
        <v>8.7099999999999997E-2</v>
      </c>
      <c r="AD25" s="18">
        <f t="shared" si="1"/>
        <v>89.051900000000003</v>
      </c>
    </row>
    <row r="26" spans="1:30" x14ac:dyDescent="0.25">
      <c r="A26" s="2" t="s">
        <v>31</v>
      </c>
      <c r="B26" s="16" t="s">
        <v>226</v>
      </c>
      <c r="C26" s="16">
        <v>5</v>
      </c>
      <c r="D26" s="8">
        <v>1080</v>
      </c>
      <c r="E26" s="8">
        <v>414</v>
      </c>
      <c r="F26" s="9">
        <f t="shared" si="0"/>
        <v>7.390983000739098</v>
      </c>
      <c r="G26" s="9" t="s">
        <v>27</v>
      </c>
      <c r="H26" s="17">
        <v>61.137500000000003</v>
      </c>
      <c r="I26" s="17">
        <v>0.39450000000000002</v>
      </c>
      <c r="J26" s="17">
        <v>0.59619999999999995</v>
      </c>
      <c r="K26" s="17">
        <v>4.2500000000000003E-2</v>
      </c>
      <c r="L26" s="17">
        <v>15.0335</v>
      </c>
      <c r="M26" s="17">
        <v>0.32569999999999999</v>
      </c>
      <c r="N26" s="17">
        <v>0.73270000000000002</v>
      </c>
      <c r="O26" s="17">
        <v>7.85E-2</v>
      </c>
      <c r="P26" s="17">
        <v>3.2214</v>
      </c>
      <c r="Q26" s="17">
        <v>5.91E-2</v>
      </c>
      <c r="R26" s="17">
        <v>2.1899999999999999E-2</v>
      </c>
      <c r="S26" s="17">
        <v>4.0599999999999997E-2</v>
      </c>
      <c r="T26" s="17">
        <v>4.1378000000000004</v>
      </c>
      <c r="U26" s="17">
        <v>0.1239</v>
      </c>
      <c r="V26" s="17">
        <v>1.6121000000000001</v>
      </c>
      <c r="W26" s="17">
        <v>0.14760000000000001</v>
      </c>
      <c r="X26" s="17">
        <v>4.7984999999999998</v>
      </c>
      <c r="Y26" s="17">
        <v>0.1517</v>
      </c>
      <c r="Z26" s="17">
        <v>0.32150000000000001</v>
      </c>
      <c r="AA26" s="17">
        <v>5.33E-2</v>
      </c>
      <c r="AB26" s="17">
        <v>0.61550000000000005</v>
      </c>
      <c r="AC26" s="17">
        <v>8.9800000000000005E-2</v>
      </c>
      <c r="AD26" s="18">
        <f t="shared" si="1"/>
        <v>92.2286</v>
      </c>
    </row>
    <row r="27" spans="1:30" x14ac:dyDescent="0.25">
      <c r="A27" s="12" t="s">
        <v>32</v>
      </c>
      <c r="B27" s="13">
        <v>15386</v>
      </c>
      <c r="C27" s="13">
        <v>1</v>
      </c>
      <c r="D27" s="6">
        <v>1100</v>
      </c>
      <c r="E27" s="6">
        <v>250</v>
      </c>
      <c r="F27" s="7">
        <f>10^4/(D27+273)</f>
        <v>7.2833211944646763</v>
      </c>
      <c r="G27" s="7" t="s">
        <v>25</v>
      </c>
      <c r="H27" s="15">
        <v>39.694499999999998</v>
      </c>
      <c r="I27" s="15">
        <v>0.24510000000000001</v>
      </c>
      <c r="J27" s="15">
        <v>2.1044</v>
      </c>
      <c r="K27" s="15">
        <v>6.9000000000000006E-2</v>
      </c>
      <c r="L27" s="15">
        <v>12.9405</v>
      </c>
      <c r="M27" s="15">
        <v>0.31990000000000002</v>
      </c>
      <c r="N27" s="15">
        <v>28.2424</v>
      </c>
      <c r="O27" s="15">
        <v>0.47049999999999997</v>
      </c>
      <c r="P27" s="15">
        <v>2.8062999999999998</v>
      </c>
      <c r="Q27" s="15">
        <v>6.1400000000000003E-2</v>
      </c>
      <c r="R27" s="15">
        <v>0.1108</v>
      </c>
      <c r="S27" s="15">
        <v>5.0900000000000001E-2</v>
      </c>
      <c r="T27" s="15">
        <v>8.7995999999999999</v>
      </c>
      <c r="U27" s="15">
        <v>0.17560000000000001</v>
      </c>
      <c r="V27" s="15">
        <v>1.5153000000000001</v>
      </c>
      <c r="W27" s="15">
        <v>0.16569999999999999</v>
      </c>
      <c r="X27" s="15">
        <v>0.70640000000000003</v>
      </c>
      <c r="Y27" s="15">
        <v>5.91E-2</v>
      </c>
      <c r="Z27" s="15">
        <v>0.50509999999999999</v>
      </c>
      <c r="AA27" s="15">
        <v>6.6299999999999998E-2</v>
      </c>
      <c r="AB27" s="15">
        <v>1.2924</v>
      </c>
      <c r="AC27" s="15">
        <v>0.121</v>
      </c>
      <c r="AD27" s="15">
        <f t="shared" si="1"/>
        <v>98.717699999999979</v>
      </c>
    </row>
    <row r="28" spans="1:30" x14ac:dyDescent="0.25">
      <c r="A28" s="12" t="s">
        <v>32</v>
      </c>
      <c r="B28" s="13">
        <v>15386</v>
      </c>
      <c r="C28" s="13">
        <v>2</v>
      </c>
      <c r="D28" s="6">
        <v>1100</v>
      </c>
      <c r="E28" s="6">
        <v>250</v>
      </c>
      <c r="F28" s="7">
        <f>10^4/(D28+273)</f>
        <v>7.2833211944646763</v>
      </c>
      <c r="G28" s="7" t="s">
        <v>25</v>
      </c>
      <c r="H28" s="15">
        <v>39.772199999999998</v>
      </c>
      <c r="I28" s="15">
        <v>0.2455</v>
      </c>
      <c r="J28" s="15">
        <v>2.1589</v>
      </c>
      <c r="K28" s="15">
        <v>7.0300000000000001E-2</v>
      </c>
      <c r="L28" s="15">
        <v>12.8178</v>
      </c>
      <c r="M28" s="15">
        <v>0.31859999999999999</v>
      </c>
      <c r="N28" s="15">
        <v>28.191700000000001</v>
      </c>
      <c r="O28" s="15">
        <v>0.47099999999999997</v>
      </c>
      <c r="P28" s="15">
        <v>2.8146</v>
      </c>
      <c r="Q28" s="15">
        <v>6.1400000000000003E-2</v>
      </c>
      <c r="R28" s="15">
        <v>0.1026</v>
      </c>
      <c r="S28" s="15">
        <v>5.0599999999999999E-2</v>
      </c>
      <c r="T28" s="15">
        <v>8.9893000000000001</v>
      </c>
      <c r="U28" s="15">
        <v>0.17760000000000001</v>
      </c>
      <c r="V28" s="15">
        <v>1.5490999999999999</v>
      </c>
      <c r="W28" s="15">
        <v>0.1668</v>
      </c>
      <c r="X28" s="15">
        <v>0.72960000000000003</v>
      </c>
      <c r="Y28" s="15">
        <v>6.0600000000000001E-2</v>
      </c>
      <c r="Z28" s="15">
        <v>0.43419999999999997</v>
      </c>
      <c r="AA28" s="15">
        <v>6.3600000000000004E-2</v>
      </c>
      <c r="AB28" s="15">
        <v>1.5242</v>
      </c>
      <c r="AC28" s="15">
        <v>0.12620000000000001</v>
      </c>
      <c r="AD28" s="15">
        <f t="shared" si="1"/>
        <v>99.084199999999996</v>
      </c>
    </row>
    <row r="29" spans="1:30" x14ac:dyDescent="0.25">
      <c r="A29" s="12" t="s">
        <v>32</v>
      </c>
      <c r="B29" s="13">
        <v>15386</v>
      </c>
      <c r="C29" s="13">
        <v>3</v>
      </c>
      <c r="D29" s="6">
        <v>1100</v>
      </c>
      <c r="E29" s="6">
        <v>250</v>
      </c>
      <c r="F29" s="7">
        <f>10^4/(D29+273)</f>
        <v>7.2833211944646763</v>
      </c>
      <c r="G29" s="7" t="s">
        <v>25</v>
      </c>
      <c r="H29" s="15">
        <v>39.598500000000001</v>
      </c>
      <c r="I29" s="15">
        <v>0.24479999999999999</v>
      </c>
      <c r="J29" s="15">
        <v>2.1112000000000002</v>
      </c>
      <c r="K29" s="15">
        <v>6.9199999999999998E-2</v>
      </c>
      <c r="L29" s="15">
        <v>12.676600000000001</v>
      </c>
      <c r="M29" s="15">
        <v>0.31680000000000003</v>
      </c>
      <c r="N29" s="15">
        <v>28.248899999999999</v>
      </c>
      <c r="O29" s="15">
        <v>0.47099999999999997</v>
      </c>
      <c r="P29" s="15">
        <v>2.9079000000000002</v>
      </c>
      <c r="Q29" s="15">
        <v>6.2199999999999998E-2</v>
      </c>
      <c r="R29" s="15">
        <v>7.5300000000000006E-2</v>
      </c>
      <c r="S29" s="15">
        <v>5.1700000000000003E-2</v>
      </c>
      <c r="T29" s="15">
        <v>9.0722000000000005</v>
      </c>
      <c r="U29" s="15">
        <v>0.17810000000000001</v>
      </c>
      <c r="V29" s="15">
        <v>1.5441</v>
      </c>
      <c r="W29" s="15">
        <v>0.16700000000000001</v>
      </c>
      <c r="X29" s="15">
        <v>0.70030000000000003</v>
      </c>
      <c r="Y29" s="15">
        <v>5.9499999999999997E-2</v>
      </c>
      <c r="Z29" s="15">
        <v>0.61839999999999995</v>
      </c>
      <c r="AA29" s="15">
        <v>6.7299999999999999E-2</v>
      </c>
      <c r="AB29" s="15">
        <v>1.5015000000000001</v>
      </c>
      <c r="AC29" s="15">
        <v>0.1237</v>
      </c>
      <c r="AD29" s="15">
        <f t="shared" si="1"/>
        <v>99.054899999999975</v>
      </c>
    </row>
    <row r="30" spans="1:30" x14ac:dyDescent="0.25">
      <c r="A30" s="12" t="s">
        <v>32</v>
      </c>
      <c r="B30" s="13">
        <v>15386</v>
      </c>
      <c r="C30" s="13">
        <v>4</v>
      </c>
      <c r="D30" s="6">
        <v>1100</v>
      </c>
      <c r="E30" s="6">
        <v>250</v>
      </c>
      <c r="F30" s="7">
        <f>10^4/(D30+273)</f>
        <v>7.2833211944646763</v>
      </c>
      <c r="G30" s="7" t="s">
        <v>25</v>
      </c>
      <c r="H30" s="15">
        <v>39.924799999999998</v>
      </c>
      <c r="I30" s="15">
        <v>0.24590000000000001</v>
      </c>
      <c r="J30" s="15">
        <v>2.0629</v>
      </c>
      <c r="K30" s="15">
        <v>6.93E-2</v>
      </c>
      <c r="L30" s="15">
        <v>13.3193</v>
      </c>
      <c r="M30" s="15">
        <v>0.3241</v>
      </c>
      <c r="N30" s="15">
        <v>28.090800000000002</v>
      </c>
      <c r="O30" s="15">
        <v>0.46899999999999997</v>
      </c>
      <c r="P30" s="15">
        <v>2.8864999999999998</v>
      </c>
      <c r="Q30" s="15">
        <v>6.2E-2</v>
      </c>
      <c r="R30" s="15">
        <v>0.11509999999999999</v>
      </c>
      <c r="S30" s="15">
        <v>5.0900000000000001E-2</v>
      </c>
      <c r="T30" s="15">
        <v>9.1549999999999994</v>
      </c>
      <c r="U30" s="15">
        <v>0.1792</v>
      </c>
      <c r="V30" s="15">
        <v>1.3008999999999999</v>
      </c>
      <c r="W30" s="15">
        <v>0.1552</v>
      </c>
      <c r="X30" s="15">
        <v>0.7077</v>
      </c>
      <c r="Y30" s="15">
        <v>5.9499999999999997E-2</v>
      </c>
      <c r="Z30" s="15">
        <v>0.52039999999999997</v>
      </c>
      <c r="AA30" s="15">
        <v>6.5600000000000006E-2</v>
      </c>
      <c r="AB30" s="15">
        <v>1.4975000000000001</v>
      </c>
      <c r="AC30" s="15">
        <v>0.1236</v>
      </c>
      <c r="AD30" s="15">
        <f t="shared" si="1"/>
        <v>99.580899999999986</v>
      </c>
    </row>
    <row r="31" spans="1:30" x14ac:dyDescent="0.25">
      <c r="A31" s="12" t="s">
        <v>32</v>
      </c>
      <c r="B31" s="13">
        <v>15386</v>
      </c>
      <c r="C31" s="13">
        <v>5</v>
      </c>
      <c r="D31" s="6">
        <v>1100</v>
      </c>
      <c r="E31" s="6">
        <v>250</v>
      </c>
      <c r="F31" s="7">
        <f>10^4/(D31+273)</f>
        <v>7.2833211944646763</v>
      </c>
      <c r="G31" s="7" t="s">
        <v>25</v>
      </c>
      <c r="H31" s="15">
        <v>39.957799999999999</v>
      </c>
      <c r="I31" s="15">
        <v>0.24610000000000001</v>
      </c>
      <c r="J31" s="15">
        <v>2.0478999999999998</v>
      </c>
      <c r="K31" s="15">
        <v>6.8900000000000003E-2</v>
      </c>
      <c r="L31" s="15">
        <v>13.1477</v>
      </c>
      <c r="M31" s="15">
        <v>0.32290000000000002</v>
      </c>
      <c r="N31" s="15">
        <v>28.181000000000001</v>
      </c>
      <c r="O31" s="15">
        <v>0.4698</v>
      </c>
      <c r="P31" s="15">
        <v>2.8763000000000001</v>
      </c>
      <c r="Q31" s="15">
        <v>6.1800000000000001E-2</v>
      </c>
      <c r="R31" s="15">
        <v>0.1026</v>
      </c>
      <c r="S31" s="15">
        <v>5.04E-2</v>
      </c>
      <c r="T31" s="15">
        <v>9.0619999999999994</v>
      </c>
      <c r="U31" s="15">
        <v>0.17780000000000001</v>
      </c>
      <c r="V31" s="15">
        <v>1.3445</v>
      </c>
      <c r="W31" s="15">
        <v>0.15790000000000001</v>
      </c>
      <c r="X31" s="15">
        <v>0.73670000000000002</v>
      </c>
      <c r="Y31" s="15">
        <v>6.0100000000000001E-2</v>
      </c>
      <c r="Z31" s="15">
        <v>0.62649999999999995</v>
      </c>
      <c r="AA31" s="15">
        <v>6.9099999999999995E-2</v>
      </c>
      <c r="AB31" s="15">
        <v>1.4120999999999999</v>
      </c>
      <c r="AC31" s="15">
        <v>0.1207</v>
      </c>
      <c r="AD31" s="15">
        <f t="shared" si="1"/>
        <v>99.495099999999979</v>
      </c>
    </row>
    <row r="32" spans="1:30" x14ac:dyDescent="0.25">
      <c r="A32" s="2" t="s">
        <v>33</v>
      </c>
      <c r="B32" s="16">
        <v>15386</v>
      </c>
      <c r="C32" s="16">
        <v>1</v>
      </c>
      <c r="D32" s="8">
        <v>1100</v>
      </c>
      <c r="E32" s="8">
        <v>250</v>
      </c>
      <c r="F32" s="9">
        <f t="shared" si="0"/>
        <v>7.2833211944646763</v>
      </c>
      <c r="G32" s="9" t="s">
        <v>25</v>
      </c>
      <c r="H32" s="18">
        <v>39.418999999999997</v>
      </c>
      <c r="I32" s="18">
        <v>0.26</v>
      </c>
      <c r="J32" s="18">
        <v>1.7989999999999999</v>
      </c>
      <c r="K32" s="18">
        <v>6.5000000000000002E-2</v>
      </c>
      <c r="L32" s="18">
        <v>13.222300000000001</v>
      </c>
      <c r="M32" s="18">
        <v>0.32129999999999997</v>
      </c>
      <c r="N32" s="18">
        <v>30.954699999999999</v>
      </c>
      <c r="O32" s="18">
        <v>0.49969999999999998</v>
      </c>
      <c r="P32" s="18">
        <v>3.2726999999999999</v>
      </c>
      <c r="Q32" s="18">
        <v>6.5699999999999995E-2</v>
      </c>
      <c r="R32" s="18">
        <v>0.55910000000000004</v>
      </c>
      <c r="S32" s="18">
        <v>7.1099999999999997E-2</v>
      </c>
      <c r="T32" s="18">
        <v>5.9843999999999999</v>
      </c>
      <c r="U32" s="18">
        <v>0.14430000000000001</v>
      </c>
      <c r="V32" s="18">
        <v>0.54559999999999997</v>
      </c>
      <c r="W32" s="18">
        <v>0.10730000000000001</v>
      </c>
      <c r="X32" s="18">
        <v>0.42199999999999999</v>
      </c>
      <c r="Y32" s="18">
        <v>4.9000000000000002E-2</v>
      </c>
      <c r="Z32" s="18">
        <v>0.2006</v>
      </c>
      <c r="AA32" s="18">
        <v>0.05</v>
      </c>
      <c r="AB32" s="18">
        <v>1.9715</v>
      </c>
      <c r="AC32" s="18">
        <v>0.14130000000000001</v>
      </c>
      <c r="AD32" s="18">
        <f t="shared" si="1"/>
        <v>98.350899999999982</v>
      </c>
    </row>
    <row r="33" spans="1:30" x14ac:dyDescent="0.25">
      <c r="A33" s="2" t="s">
        <v>33</v>
      </c>
      <c r="B33" s="16">
        <v>15386</v>
      </c>
      <c r="C33" s="16">
        <v>2</v>
      </c>
      <c r="D33" s="8">
        <v>1100</v>
      </c>
      <c r="E33" s="8">
        <v>250</v>
      </c>
      <c r="F33" s="9">
        <f t="shared" si="0"/>
        <v>7.2833211944646763</v>
      </c>
      <c r="G33" s="9" t="s">
        <v>25</v>
      </c>
      <c r="H33" s="18">
        <v>39.336199999999998</v>
      </c>
      <c r="I33" s="18">
        <v>0.2596</v>
      </c>
      <c r="J33" s="18">
        <v>1.8485</v>
      </c>
      <c r="K33" s="18">
        <v>6.5500000000000003E-2</v>
      </c>
      <c r="L33" s="18">
        <v>12.8621</v>
      </c>
      <c r="M33" s="18">
        <v>0.31680000000000003</v>
      </c>
      <c r="N33" s="18">
        <v>31.096399999999999</v>
      </c>
      <c r="O33" s="18">
        <v>0.50109999999999999</v>
      </c>
      <c r="P33" s="18">
        <v>3.2806000000000002</v>
      </c>
      <c r="Q33" s="18">
        <v>6.6100000000000006E-2</v>
      </c>
      <c r="R33" s="18">
        <v>0.56159999999999999</v>
      </c>
      <c r="S33" s="18">
        <v>7.1800000000000003E-2</v>
      </c>
      <c r="T33" s="18">
        <v>5.9522000000000004</v>
      </c>
      <c r="U33" s="18">
        <v>0.14449999999999999</v>
      </c>
      <c r="V33" s="18">
        <v>0.62890000000000001</v>
      </c>
      <c r="W33" s="18">
        <v>0.11360000000000001</v>
      </c>
      <c r="X33" s="18">
        <v>0.41549999999999998</v>
      </c>
      <c r="Y33" s="18">
        <v>4.9399999999999999E-2</v>
      </c>
      <c r="Z33" s="18">
        <v>0.1731</v>
      </c>
      <c r="AA33" s="18">
        <v>4.6600000000000003E-2</v>
      </c>
      <c r="AB33" s="18">
        <v>2.0527000000000002</v>
      </c>
      <c r="AC33" s="18">
        <v>0.1416</v>
      </c>
      <c r="AD33" s="18">
        <f t="shared" si="1"/>
        <v>98.207800000000006</v>
      </c>
    </row>
    <row r="34" spans="1:30" x14ac:dyDescent="0.25">
      <c r="A34" s="2" t="s">
        <v>33</v>
      </c>
      <c r="B34" s="16">
        <v>15386</v>
      </c>
      <c r="C34" s="16">
        <v>3</v>
      </c>
      <c r="D34" s="8">
        <v>1100</v>
      </c>
      <c r="E34" s="8">
        <v>250</v>
      </c>
      <c r="F34" s="9">
        <f t="shared" si="0"/>
        <v>7.2833211944646763</v>
      </c>
      <c r="G34" s="9" t="s">
        <v>25</v>
      </c>
      <c r="H34" s="18">
        <v>39.364600000000003</v>
      </c>
      <c r="I34" s="18">
        <v>0.25969999999999999</v>
      </c>
      <c r="J34" s="18">
        <v>1.8595999999999999</v>
      </c>
      <c r="K34" s="18">
        <v>6.6000000000000003E-2</v>
      </c>
      <c r="L34" s="18">
        <v>13.7461</v>
      </c>
      <c r="M34" s="18">
        <v>0.32700000000000001</v>
      </c>
      <c r="N34" s="18">
        <v>31.1812</v>
      </c>
      <c r="O34" s="18">
        <v>0.50149999999999995</v>
      </c>
      <c r="P34" s="18">
        <v>3.2732999999999999</v>
      </c>
      <c r="Q34" s="18">
        <v>6.6000000000000003E-2</v>
      </c>
      <c r="R34" s="18">
        <v>0.51839999999999997</v>
      </c>
      <c r="S34" s="18">
        <v>7.1199999999999999E-2</v>
      </c>
      <c r="T34" s="18">
        <v>5.9459999999999997</v>
      </c>
      <c r="U34" s="18">
        <v>0.14360000000000001</v>
      </c>
      <c r="V34" s="18">
        <v>0.62380000000000002</v>
      </c>
      <c r="W34" s="18">
        <v>0.1133</v>
      </c>
      <c r="X34" s="18">
        <v>0.42920000000000003</v>
      </c>
      <c r="Y34" s="18">
        <v>4.9399999999999999E-2</v>
      </c>
      <c r="Z34" s="18">
        <v>0.21659999999999999</v>
      </c>
      <c r="AA34" s="18">
        <v>4.7E-2</v>
      </c>
      <c r="AB34" s="18">
        <v>2.0464000000000002</v>
      </c>
      <c r="AC34" s="18">
        <v>0.14299999999999999</v>
      </c>
      <c r="AD34" s="18">
        <f t="shared" si="1"/>
        <v>99.205200000000005</v>
      </c>
    </row>
    <row r="35" spans="1:30" x14ac:dyDescent="0.25">
      <c r="A35" s="2" t="s">
        <v>33</v>
      </c>
      <c r="B35" s="16">
        <v>15386</v>
      </c>
      <c r="C35" s="16">
        <v>4</v>
      </c>
      <c r="D35" s="8">
        <v>1100</v>
      </c>
      <c r="E35" s="8">
        <v>250</v>
      </c>
      <c r="F35" s="9">
        <f t="shared" si="0"/>
        <v>7.2833211944646763</v>
      </c>
      <c r="G35" s="9" t="s">
        <v>25</v>
      </c>
      <c r="H35" s="18">
        <v>39.431100000000001</v>
      </c>
      <c r="I35" s="18">
        <v>0.26019999999999999</v>
      </c>
      <c r="J35" s="18">
        <v>1.8594999999999999</v>
      </c>
      <c r="K35" s="18">
        <v>6.5699999999999995E-2</v>
      </c>
      <c r="L35" s="18">
        <v>13.3408</v>
      </c>
      <c r="M35" s="18">
        <v>0.32250000000000001</v>
      </c>
      <c r="N35" s="18">
        <v>30.482099999999999</v>
      </c>
      <c r="O35" s="18">
        <v>0.49519999999999997</v>
      </c>
      <c r="P35" s="18">
        <v>3.3570000000000002</v>
      </c>
      <c r="Q35" s="18">
        <v>6.6600000000000006E-2</v>
      </c>
      <c r="R35" s="18">
        <v>0.53320000000000001</v>
      </c>
      <c r="S35" s="18">
        <v>7.3499999999999996E-2</v>
      </c>
      <c r="T35" s="18">
        <v>5.8968999999999996</v>
      </c>
      <c r="U35" s="18">
        <v>0.14349999999999999</v>
      </c>
      <c r="V35" s="18">
        <v>0.55200000000000005</v>
      </c>
      <c r="W35" s="18">
        <v>0.10929999999999999</v>
      </c>
      <c r="X35" s="18">
        <v>0.44009999999999999</v>
      </c>
      <c r="Y35" s="18">
        <v>4.9700000000000001E-2</v>
      </c>
      <c r="Z35" s="18">
        <v>0.25869999999999999</v>
      </c>
      <c r="AA35" s="18">
        <v>5.1299999999999998E-2</v>
      </c>
      <c r="AB35" s="18">
        <v>2.0607000000000002</v>
      </c>
      <c r="AC35" s="18">
        <v>0.14399999999999999</v>
      </c>
      <c r="AD35" s="18">
        <f>SUM(H35,J35,L35,N35,P35,R35,T35,V35,X35,Z35,AB35)</f>
        <v>98.212100000000007</v>
      </c>
    </row>
    <row r="36" spans="1:30" x14ac:dyDescent="0.25">
      <c r="A36" s="2" t="s">
        <v>33</v>
      </c>
      <c r="B36" s="16">
        <v>15386</v>
      </c>
      <c r="C36" s="16">
        <v>5</v>
      </c>
      <c r="D36" s="8">
        <v>1100</v>
      </c>
      <c r="E36" s="8">
        <v>250</v>
      </c>
      <c r="F36" s="9">
        <f t="shared" si="0"/>
        <v>7.2833211944646763</v>
      </c>
      <c r="G36" s="9" t="s">
        <v>25</v>
      </c>
      <c r="H36" s="18">
        <v>39.343800000000002</v>
      </c>
      <c r="I36" s="18">
        <v>0.25990000000000002</v>
      </c>
      <c r="J36" s="18">
        <v>1.8268</v>
      </c>
      <c r="K36" s="18">
        <v>6.5699999999999995E-2</v>
      </c>
      <c r="L36" s="18">
        <v>13.950100000000001</v>
      </c>
      <c r="M36" s="18">
        <v>0.32929999999999998</v>
      </c>
      <c r="N36" s="18">
        <v>30.241499999999998</v>
      </c>
      <c r="O36" s="18">
        <v>0.49249999999999999</v>
      </c>
      <c r="P36" s="18">
        <v>3.3062999999999998</v>
      </c>
      <c r="Q36" s="18">
        <v>6.6199999999999995E-2</v>
      </c>
      <c r="R36" s="18">
        <v>0.53129999999999999</v>
      </c>
      <c r="S36" s="18">
        <v>7.1900000000000006E-2</v>
      </c>
      <c r="T36" s="18">
        <v>5.8776000000000002</v>
      </c>
      <c r="U36" s="18">
        <v>0.14349999999999999</v>
      </c>
      <c r="V36" s="18">
        <v>0.65490000000000004</v>
      </c>
      <c r="W36" s="18">
        <v>0.1166</v>
      </c>
      <c r="X36" s="18">
        <v>0.44080000000000003</v>
      </c>
      <c r="Y36" s="18">
        <v>0.05</v>
      </c>
      <c r="Z36" s="18">
        <v>0.2656</v>
      </c>
      <c r="AA36" s="18">
        <v>5.2200000000000003E-2</v>
      </c>
      <c r="AB36" s="18">
        <v>1.9508000000000001</v>
      </c>
      <c r="AC36" s="18">
        <v>0.14099999999999999</v>
      </c>
      <c r="AD36" s="18">
        <f>SUM(H36,J36,L36,N36,P36,R36,T36,V36,X36,Z36,AB36)</f>
        <v>98.389499999999998</v>
      </c>
    </row>
    <row r="37" spans="1:30" x14ac:dyDescent="0.25">
      <c r="A37" s="12" t="s">
        <v>34</v>
      </c>
      <c r="B37" s="13" t="s">
        <v>227</v>
      </c>
      <c r="C37" s="13">
        <v>1</v>
      </c>
      <c r="D37" s="6">
        <v>1100</v>
      </c>
      <c r="E37" s="6">
        <v>250</v>
      </c>
      <c r="F37" s="7">
        <f t="shared" ref="F37:F75" si="2">10^4/(D37+273)</f>
        <v>7.2833211944646763</v>
      </c>
      <c r="G37" s="7" t="s">
        <v>25</v>
      </c>
      <c r="H37" s="15">
        <v>50.405299999999997</v>
      </c>
      <c r="I37" s="15">
        <v>0.2989</v>
      </c>
      <c r="J37" s="15">
        <v>0.55589999999999995</v>
      </c>
      <c r="K37" s="15">
        <v>4.3200000000000002E-2</v>
      </c>
      <c r="L37" s="15">
        <v>8.2088000000000001</v>
      </c>
      <c r="M37" s="15">
        <v>0.25159999999999999</v>
      </c>
      <c r="N37" s="15">
        <v>33.126199999999997</v>
      </c>
      <c r="O37" s="15">
        <v>0.52200000000000002</v>
      </c>
      <c r="P37" s="15">
        <v>0.47310000000000002</v>
      </c>
      <c r="Q37" s="15">
        <v>0.03</v>
      </c>
      <c r="R37" s="15">
        <v>0.1575</v>
      </c>
      <c r="S37" s="15">
        <v>5.4399999999999997E-2</v>
      </c>
      <c r="T37" s="15">
        <v>0.98109999999999997</v>
      </c>
      <c r="U37" s="15">
        <v>6.2600000000000003E-2</v>
      </c>
      <c r="V37" s="15">
        <v>0.29270000000000002</v>
      </c>
      <c r="W37" s="15">
        <v>8.6300000000000002E-2</v>
      </c>
      <c r="X37" s="15">
        <v>3.0659999999999998</v>
      </c>
      <c r="Y37" s="15">
        <v>0.11890000000000001</v>
      </c>
      <c r="Z37" s="15">
        <v>7.7999999999999996E-3</v>
      </c>
      <c r="AA37" s="15">
        <v>3.1699999999999999E-2</v>
      </c>
      <c r="AB37" s="15">
        <v>1.0012000000000001</v>
      </c>
      <c r="AC37" s="15">
        <v>0.108</v>
      </c>
      <c r="AD37" s="15">
        <f t="shared" si="1"/>
        <v>98.275599999999997</v>
      </c>
    </row>
    <row r="38" spans="1:30" x14ac:dyDescent="0.25">
      <c r="A38" s="12" t="s">
        <v>34</v>
      </c>
      <c r="B38" s="13" t="s">
        <v>227</v>
      </c>
      <c r="C38" s="13">
        <v>2</v>
      </c>
      <c r="D38" s="6">
        <v>1100</v>
      </c>
      <c r="E38" s="6">
        <v>250</v>
      </c>
      <c r="F38" s="7">
        <f t="shared" si="2"/>
        <v>7.2833211944646763</v>
      </c>
      <c r="G38" s="7" t="s">
        <v>25</v>
      </c>
      <c r="H38" s="15">
        <v>50.369300000000003</v>
      </c>
      <c r="I38" s="15">
        <v>0.29909999999999998</v>
      </c>
      <c r="J38" s="15">
        <v>0.61950000000000005</v>
      </c>
      <c r="K38" s="15">
        <v>4.3900000000000002E-2</v>
      </c>
      <c r="L38" s="15">
        <v>8.7411999999999992</v>
      </c>
      <c r="M38" s="15">
        <v>0.2596</v>
      </c>
      <c r="N38" s="15">
        <v>33.247799999999998</v>
      </c>
      <c r="O38" s="15">
        <v>0.52400000000000002</v>
      </c>
      <c r="P38" s="15">
        <v>0.46039999999999998</v>
      </c>
      <c r="Q38" s="15">
        <v>2.9499999999999998E-2</v>
      </c>
      <c r="R38" s="15">
        <v>0.19309999999999999</v>
      </c>
      <c r="S38" s="15">
        <v>5.5599999999999997E-2</v>
      </c>
      <c r="T38" s="15">
        <v>0.95540000000000003</v>
      </c>
      <c r="U38" s="15">
        <v>6.3200000000000006E-2</v>
      </c>
      <c r="V38" s="15">
        <v>0.28999999999999998</v>
      </c>
      <c r="W38" s="15">
        <v>8.5000000000000006E-2</v>
      </c>
      <c r="X38" s="15">
        <v>3.1240999999999999</v>
      </c>
      <c r="Y38" s="15">
        <v>0.12</v>
      </c>
      <c r="Z38" s="15">
        <v>3.0999999999999999E-3</v>
      </c>
      <c r="AA38" s="15">
        <v>3.2899999999999999E-2</v>
      </c>
      <c r="AB38" s="15">
        <v>1.0629</v>
      </c>
      <c r="AC38" s="15">
        <v>0.1105</v>
      </c>
      <c r="AD38" s="15">
        <f t="shared" si="1"/>
        <v>99.066800000000015</v>
      </c>
    </row>
    <row r="39" spans="1:30" x14ac:dyDescent="0.25">
      <c r="A39" s="12" t="s">
        <v>34</v>
      </c>
      <c r="B39" s="13" t="s">
        <v>227</v>
      </c>
      <c r="C39" s="13">
        <v>3</v>
      </c>
      <c r="D39" s="6">
        <v>1100</v>
      </c>
      <c r="E39" s="6">
        <v>250</v>
      </c>
      <c r="F39" s="7">
        <f t="shared" si="2"/>
        <v>7.2833211944646763</v>
      </c>
      <c r="G39" s="7" t="s">
        <v>25</v>
      </c>
      <c r="H39" s="15">
        <v>50.340899999999998</v>
      </c>
      <c r="I39" s="15">
        <v>0.29859999999999998</v>
      </c>
      <c r="J39" s="15">
        <v>0.56850000000000001</v>
      </c>
      <c r="K39" s="15">
        <v>4.3499999999999997E-2</v>
      </c>
      <c r="L39" s="15">
        <v>8.4949999999999992</v>
      </c>
      <c r="M39" s="15">
        <v>0.25609999999999999</v>
      </c>
      <c r="N39" s="15">
        <v>33.261000000000003</v>
      </c>
      <c r="O39" s="15">
        <v>0.5232</v>
      </c>
      <c r="P39" s="15">
        <v>0.48480000000000001</v>
      </c>
      <c r="Q39" s="15">
        <v>2.9600000000000001E-2</v>
      </c>
      <c r="R39" s="15">
        <v>0.19170000000000001</v>
      </c>
      <c r="S39" s="15">
        <v>5.5100000000000003E-2</v>
      </c>
      <c r="T39" s="15">
        <v>0.96709999999999996</v>
      </c>
      <c r="U39" s="15">
        <v>6.2399999999999997E-2</v>
      </c>
      <c r="V39" s="15">
        <v>0.34910000000000002</v>
      </c>
      <c r="W39" s="15">
        <v>8.9800000000000005E-2</v>
      </c>
      <c r="X39" s="15">
        <v>3.0638000000000001</v>
      </c>
      <c r="Y39" s="15">
        <v>0.11940000000000001</v>
      </c>
      <c r="Z39" s="15">
        <v>4.7000000000000002E-3</v>
      </c>
      <c r="AA39" s="15">
        <v>3.7199999999999997E-2</v>
      </c>
      <c r="AB39" s="15">
        <v>1.0153000000000001</v>
      </c>
      <c r="AC39" s="15">
        <v>0.1089</v>
      </c>
      <c r="AD39" s="15">
        <f t="shared" si="1"/>
        <v>98.741900000000015</v>
      </c>
    </row>
    <row r="40" spans="1:30" x14ac:dyDescent="0.25">
      <c r="A40" s="12" t="s">
        <v>34</v>
      </c>
      <c r="B40" s="13" t="s">
        <v>227</v>
      </c>
      <c r="C40" s="13">
        <v>4</v>
      </c>
      <c r="D40" s="6">
        <v>1100</v>
      </c>
      <c r="E40" s="6">
        <v>250</v>
      </c>
      <c r="F40" s="7">
        <f t="shared" si="2"/>
        <v>7.2833211944646763</v>
      </c>
      <c r="G40" s="7" t="s">
        <v>25</v>
      </c>
      <c r="H40" s="15">
        <v>50.3566</v>
      </c>
      <c r="I40" s="15">
        <v>0.2989</v>
      </c>
      <c r="J40" s="15">
        <v>0.57440000000000002</v>
      </c>
      <c r="K40" s="15">
        <v>4.4200000000000003E-2</v>
      </c>
      <c r="L40" s="15">
        <v>8.6404999999999994</v>
      </c>
      <c r="M40" s="15">
        <v>0.25829999999999997</v>
      </c>
      <c r="N40" s="15">
        <v>33.447000000000003</v>
      </c>
      <c r="O40" s="15">
        <v>0.52580000000000005</v>
      </c>
      <c r="P40" s="15">
        <v>0.45619999999999999</v>
      </c>
      <c r="Q40" s="15">
        <v>2.9700000000000001E-2</v>
      </c>
      <c r="R40" s="15">
        <v>0.14810000000000001</v>
      </c>
      <c r="S40" s="15">
        <v>5.45E-2</v>
      </c>
      <c r="T40" s="15">
        <v>0.95550000000000002</v>
      </c>
      <c r="U40" s="15">
        <v>6.3E-2</v>
      </c>
      <c r="V40" s="15">
        <v>0.31719999999999998</v>
      </c>
      <c r="W40" s="15">
        <v>8.7999999999999995E-2</v>
      </c>
      <c r="X40" s="15">
        <v>3.11</v>
      </c>
      <c r="Y40" s="15">
        <v>0.1202</v>
      </c>
      <c r="Z40" s="15">
        <v>-1.8800000000000001E-2</v>
      </c>
      <c r="AA40" s="15">
        <v>3.6200000000000003E-2</v>
      </c>
      <c r="AB40" s="15">
        <v>0.9909</v>
      </c>
      <c r="AC40" s="15">
        <v>0.1057</v>
      </c>
      <c r="AD40" s="15">
        <f t="shared" si="1"/>
        <v>98.977599999999995</v>
      </c>
    </row>
    <row r="41" spans="1:30" x14ac:dyDescent="0.25">
      <c r="A41" s="12" t="s">
        <v>34</v>
      </c>
      <c r="B41" s="13" t="s">
        <v>227</v>
      </c>
      <c r="C41" s="13">
        <v>5</v>
      </c>
      <c r="D41" s="6">
        <v>1100</v>
      </c>
      <c r="E41" s="6">
        <v>250</v>
      </c>
      <c r="F41" s="7">
        <f t="shared" si="2"/>
        <v>7.2833211944646763</v>
      </c>
      <c r="G41" s="7" t="s">
        <v>25</v>
      </c>
      <c r="H41" s="15">
        <v>49.805199999999999</v>
      </c>
      <c r="I41" s="15">
        <v>0.2969</v>
      </c>
      <c r="J41" s="15">
        <v>0.62009999999999998</v>
      </c>
      <c r="K41" s="15">
        <v>4.3799999999999999E-2</v>
      </c>
      <c r="L41" s="15">
        <v>8.5995000000000008</v>
      </c>
      <c r="M41" s="15">
        <v>0.25790000000000002</v>
      </c>
      <c r="N41" s="15">
        <v>33.503100000000003</v>
      </c>
      <c r="O41" s="15">
        <v>0.52639999999999998</v>
      </c>
      <c r="P41" s="15">
        <v>0.47870000000000001</v>
      </c>
      <c r="Q41" s="15">
        <v>2.9600000000000001E-2</v>
      </c>
      <c r="R41" s="15">
        <v>0.1605</v>
      </c>
      <c r="S41" s="15">
        <v>5.4300000000000001E-2</v>
      </c>
      <c r="T41" s="15">
        <v>0.92420000000000002</v>
      </c>
      <c r="U41" s="15">
        <v>6.2100000000000002E-2</v>
      </c>
      <c r="V41" s="15">
        <v>0.3448</v>
      </c>
      <c r="W41" s="15">
        <v>8.8900000000000007E-2</v>
      </c>
      <c r="X41" s="15">
        <v>3.0222000000000002</v>
      </c>
      <c r="Y41" s="15">
        <v>0.11799999999999999</v>
      </c>
      <c r="Z41" s="15">
        <v>3.0999999999999999E-3</v>
      </c>
      <c r="AA41" s="15">
        <v>3.4200000000000001E-2</v>
      </c>
      <c r="AB41" s="15">
        <v>1.0513999999999999</v>
      </c>
      <c r="AC41" s="15">
        <v>0.1095</v>
      </c>
      <c r="AD41" s="15">
        <v>98.512600000000006</v>
      </c>
    </row>
    <row r="42" spans="1:30" x14ac:dyDescent="0.25">
      <c r="A42" s="2" t="s">
        <v>35</v>
      </c>
      <c r="B42" s="16" t="s">
        <v>228</v>
      </c>
      <c r="C42" s="16">
        <v>1</v>
      </c>
      <c r="D42" s="8">
        <v>1100</v>
      </c>
      <c r="E42" s="8">
        <v>250</v>
      </c>
      <c r="F42" s="9">
        <f t="shared" si="2"/>
        <v>7.2833211944646763</v>
      </c>
      <c r="G42" s="9" t="s">
        <v>25</v>
      </c>
      <c r="H42" s="17">
        <v>39.929400000000001</v>
      </c>
      <c r="I42" s="17">
        <v>0.26079999999999998</v>
      </c>
      <c r="J42" s="17">
        <v>1.7477</v>
      </c>
      <c r="K42" s="17">
        <v>6.4799999999999996E-2</v>
      </c>
      <c r="L42" s="17">
        <v>9.4425000000000008</v>
      </c>
      <c r="M42" s="17">
        <v>0.27229999999999999</v>
      </c>
      <c r="N42" s="17">
        <v>32.007800000000003</v>
      </c>
      <c r="O42" s="17">
        <v>0.51019999999999999</v>
      </c>
      <c r="P42" s="17">
        <v>2.2197</v>
      </c>
      <c r="Q42" s="17">
        <v>5.5899999999999998E-2</v>
      </c>
      <c r="R42" s="17">
        <v>0.34610000000000002</v>
      </c>
      <c r="S42" s="17">
        <v>6.3500000000000001E-2</v>
      </c>
      <c r="T42" s="17">
        <v>6.8586999999999998</v>
      </c>
      <c r="U42" s="17">
        <v>0.15459999999999999</v>
      </c>
      <c r="V42" s="17">
        <v>1.5616000000000001</v>
      </c>
      <c r="W42" s="17">
        <v>0.17080000000000001</v>
      </c>
      <c r="X42" s="17">
        <v>1.1029</v>
      </c>
      <c r="Y42" s="17">
        <v>7.3599999999999999E-2</v>
      </c>
      <c r="Z42" s="17">
        <v>0.63770000000000004</v>
      </c>
      <c r="AA42" s="17">
        <v>7.1099999999999997E-2</v>
      </c>
      <c r="AB42" s="17">
        <v>1.9426000000000001</v>
      </c>
      <c r="AC42" s="17">
        <v>0.14369999999999999</v>
      </c>
      <c r="AD42" s="18">
        <f>SUM(H42,J42,L42,N42,P42,R42,T42,V42,X42,Z42,AB42)</f>
        <v>97.796700000000016</v>
      </c>
    </row>
    <row r="43" spans="1:30" x14ac:dyDescent="0.25">
      <c r="A43" s="2" t="s">
        <v>35</v>
      </c>
      <c r="B43" s="16" t="s">
        <v>228</v>
      </c>
      <c r="C43" s="16">
        <v>2</v>
      </c>
      <c r="D43" s="8">
        <v>1100</v>
      </c>
      <c r="E43" s="8">
        <v>250</v>
      </c>
      <c r="F43" s="9">
        <f t="shared" si="2"/>
        <v>7.2833211944646763</v>
      </c>
      <c r="G43" s="9" t="s">
        <v>25</v>
      </c>
      <c r="H43" s="17">
        <v>39.922400000000003</v>
      </c>
      <c r="I43" s="17">
        <v>0.26100000000000001</v>
      </c>
      <c r="J43" s="17">
        <v>1.8287</v>
      </c>
      <c r="K43" s="17">
        <v>6.4899999999999999E-2</v>
      </c>
      <c r="L43" s="17">
        <v>10.025</v>
      </c>
      <c r="M43" s="17">
        <v>0.28060000000000002</v>
      </c>
      <c r="N43" s="17">
        <v>32.219900000000003</v>
      </c>
      <c r="O43" s="17">
        <v>0.51249999999999996</v>
      </c>
      <c r="P43" s="17">
        <v>2.2193000000000001</v>
      </c>
      <c r="Q43" s="17">
        <v>5.5800000000000002E-2</v>
      </c>
      <c r="R43" s="17">
        <v>0.31390000000000001</v>
      </c>
      <c r="S43" s="17">
        <v>6.2399999999999997E-2</v>
      </c>
      <c r="T43" s="17">
        <v>6.8042999999999996</v>
      </c>
      <c r="U43" s="17">
        <v>0.15429999999999999</v>
      </c>
      <c r="V43" s="17">
        <v>1.5862000000000001</v>
      </c>
      <c r="W43" s="17">
        <v>0.17199999999999999</v>
      </c>
      <c r="X43" s="17">
        <v>1.1214</v>
      </c>
      <c r="Y43" s="17">
        <v>7.3400000000000007E-2</v>
      </c>
      <c r="Z43" s="17">
        <v>0.6482</v>
      </c>
      <c r="AA43" s="17">
        <v>7.3700000000000002E-2</v>
      </c>
      <c r="AB43" s="17">
        <v>1.9736</v>
      </c>
      <c r="AC43" s="17">
        <v>0.1404</v>
      </c>
      <c r="AD43" s="18">
        <f t="shared" ref="AD43:AD50" si="3">SUM(H43,J43,L43,N43,P43,R43,T43,V43,X43,Z43,AB43)</f>
        <v>98.662900000000022</v>
      </c>
    </row>
    <row r="44" spans="1:30" x14ac:dyDescent="0.25">
      <c r="A44" s="2" t="s">
        <v>35</v>
      </c>
      <c r="B44" s="16" t="s">
        <v>228</v>
      </c>
      <c r="C44" s="16">
        <v>3</v>
      </c>
      <c r="D44" s="8">
        <v>1100</v>
      </c>
      <c r="E44" s="8">
        <v>250</v>
      </c>
      <c r="F44" s="9">
        <f t="shared" si="2"/>
        <v>7.2833211944646763</v>
      </c>
      <c r="G44" s="9" t="s">
        <v>25</v>
      </c>
      <c r="H44" s="17">
        <v>40.323099999999997</v>
      </c>
      <c r="I44" s="17">
        <v>0.26250000000000001</v>
      </c>
      <c r="J44" s="17">
        <v>1.7959000000000001</v>
      </c>
      <c r="K44" s="17">
        <v>6.5000000000000002E-2</v>
      </c>
      <c r="L44" s="17">
        <v>9.6555999999999997</v>
      </c>
      <c r="M44" s="17">
        <v>0.27529999999999999</v>
      </c>
      <c r="N44" s="17">
        <v>32.567700000000002</v>
      </c>
      <c r="O44" s="17">
        <v>0.51570000000000005</v>
      </c>
      <c r="P44" s="17">
        <v>2.2078000000000002</v>
      </c>
      <c r="Q44" s="17">
        <v>5.5599999999999997E-2</v>
      </c>
      <c r="R44" s="17">
        <v>0.36280000000000001</v>
      </c>
      <c r="S44" s="17">
        <v>6.3899999999999998E-2</v>
      </c>
      <c r="T44" s="17">
        <v>6.8339999999999996</v>
      </c>
      <c r="U44" s="17">
        <v>0.1545</v>
      </c>
      <c r="V44" s="17">
        <v>1.6664000000000001</v>
      </c>
      <c r="W44" s="17">
        <v>0.17660000000000001</v>
      </c>
      <c r="X44" s="17">
        <v>1.1205000000000001</v>
      </c>
      <c r="Y44" s="17">
        <v>7.3200000000000001E-2</v>
      </c>
      <c r="Z44" s="17">
        <v>0.62150000000000005</v>
      </c>
      <c r="AA44" s="17">
        <v>7.1199999999999999E-2</v>
      </c>
      <c r="AB44" s="17">
        <v>2.0265</v>
      </c>
      <c r="AC44" s="17">
        <v>0.14360000000000001</v>
      </c>
      <c r="AD44" s="18">
        <f t="shared" si="3"/>
        <v>99.18180000000001</v>
      </c>
    </row>
    <row r="45" spans="1:30" x14ac:dyDescent="0.25">
      <c r="A45" s="2" t="s">
        <v>35</v>
      </c>
      <c r="B45" s="16" t="s">
        <v>228</v>
      </c>
      <c r="C45" s="16">
        <v>4</v>
      </c>
      <c r="D45" s="8">
        <v>1100</v>
      </c>
      <c r="E45" s="8">
        <v>250</v>
      </c>
      <c r="F45" s="9">
        <f t="shared" si="2"/>
        <v>7.2833211944646763</v>
      </c>
      <c r="G45" s="9" t="s">
        <v>25</v>
      </c>
      <c r="H45" s="17">
        <v>39.790300000000002</v>
      </c>
      <c r="I45" s="17">
        <v>0.26019999999999999</v>
      </c>
      <c r="J45" s="17">
        <v>1.8435999999999999</v>
      </c>
      <c r="K45" s="17">
        <v>6.5600000000000006E-2</v>
      </c>
      <c r="L45" s="17">
        <v>9.3469999999999995</v>
      </c>
      <c r="M45" s="17">
        <v>0.27100000000000002</v>
      </c>
      <c r="N45" s="17">
        <v>32.2194</v>
      </c>
      <c r="O45" s="17">
        <v>0.51180000000000003</v>
      </c>
      <c r="P45" s="17">
        <v>2.2235999999999998</v>
      </c>
      <c r="Q45" s="17">
        <v>5.5899999999999998E-2</v>
      </c>
      <c r="R45" s="17">
        <v>0.33760000000000001</v>
      </c>
      <c r="S45" s="17">
        <v>6.4000000000000001E-2</v>
      </c>
      <c r="T45" s="17">
        <v>6.8441999999999998</v>
      </c>
      <c r="U45" s="17">
        <v>0.1545</v>
      </c>
      <c r="V45" s="17">
        <v>1.6271</v>
      </c>
      <c r="W45" s="17">
        <v>0.1749</v>
      </c>
      <c r="X45" s="17">
        <v>1.1528</v>
      </c>
      <c r="Y45" s="17">
        <v>7.4099999999999999E-2</v>
      </c>
      <c r="Z45" s="17">
        <v>0.66020000000000001</v>
      </c>
      <c r="AA45" s="17">
        <v>7.4200000000000002E-2</v>
      </c>
      <c r="AB45" s="17">
        <v>2.16</v>
      </c>
      <c r="AC45" s="17">
        <v>0.14749999999999999</v>
      </c>
      <c r="AD45" s="18">
        <f t="shared" si="3"/>
        <v>98.205799999999996</v>
      </c>
    </row>
    <row r="46" spans="1:30" x14ac:dyDescent="0.25">
      <c r="A46" s="2" t="s">
        <v>35</v>
      </c>
      <c r="B46" s="16" t="s">
        <v>228</v>
      </c>
      <c r="C46" s="16">
        <v>5</v>
      </c>
      <c r="D46" s="8">
        <v>1100</v>
      </c>
      <c r="E46" s="8">
        <v>250</v>
      </c>
      <c r="F46" s="9">
        <f t="shared" si="2"/>
        <v>7.2833211944646763</v>
      </c>
      <c r="G46" s="9" t="s">
        <v>25</v>
      </c>
      <c r="H46" s="17">
        <v>39.871400000000001</v>
      </c>
      <c r="I46" s="17">
        <v>0.2606</v>
      </c>
      <c r="J46" s="17">
        <v>1.7709999999999999</v>
      </c>
      <c r="K46" s="17">
        <v>6.4500000000000002E-2</v>
      </c>
      <c r="L46" s="17">
        <v>9.5292999999999992</v>
      </c>
      <c r="M46" s="17">
        <v>0.27379999999999999</v>
      </c>
      <c r="N46" s="17">
        <v>32.525599999999997</v>
      </c>
      <c r="O46" s="17">
        <v>0.5151</v>
      </c>
      <c r="P46" s="17">
        <v>2.2168000000000001</v>
      </c>
      <c r="Q46" s="17">
        <v>5.57E-2</v>
      </c>
      <c r="R46" s="17">
        <v>0.31869999999999998</v>
      </c>
      <c r="S46" s="17">
        <v>6.3600000000000004E-2</v>
      </c>
      <c r="T46" s="17">
        <v>6.8002000000000002</v>
      </c>
      <c r="U46" s="17">
        <v>0.15409999999999999</v>
      </c>
      <c r="V46" s="17">
        <v>1.5397000000000001</v>
      </c>
      <c r="W46" s="17">
        <v>0.16980000000000001</v>
      </c>
      <c r="X46" s="17">
        <v>1.1228</v>
      </c>
      <c r="Y46" s="17">
        <v>7.4099999999999999E-2</v>
      </c>
      <c r="Z46" s="17">
        <v>0.69679999999999997</v>
      </c>
      <c r="AA46" s="17">
        <v>7.1900000000000006E-2</v>
      </c>
      <c r="AB46" s="17">
        <v>2.0043000000000002</v>
      </c>
      <c r="AC46" s="17">
        <v>0.14169999999999999</v>
      </c>
      <c r="AD46" s="18">
        <f t="shared" si="3"/>
        <v>98.396600000000007</v>
      </c>
    </row>
    <row r="47" spans="1:30" x14ac:dyDescent="0.25">
      <c r="A47" s="12" t="s">
        <v>36</v>
      </c>
      <c r="B47" s="13" t="s">
        <v>229</v>
      </c>
      <c r="C47" s="13">
        <v>1</v>
      </c>
      <c r="D47" s="6">
        <v>1100</v>
      </c>
      <c r="E47" s="6">
        <v>250</v>
      </c>
      <c r="F47" s="7">
        <f t="shared" si="2"/>
        <v>7.2833211944646763</v>
      </c>
      <c r="G47" s="7" t="s">
        <v>25</v>
      </c>
      <c r="H47" s="14">
        <v>39.8917</v>
      </c>
      <c r="I47" s="14">
        <v>0.26140000000000002</v>
      </c>
      <c r="J47" s="14">
        <v>0.43740000000000001</v>
      </c>
      <c r="K47" s="14">
        <v>4.0300000000000002E-2</v>
      </c>
      <c r="L47" s="14">
        <v>13.6113</v>
      </c>
      <c r="M47" s="14">
        <v>0.32350000000000001</v>
      </c>
      <c r="N47" s="14">
        <v>26.561299999999999</v>
      </c>
      <c r="O47" s="14">
        <v>0.45469999999999999</v>
      </c>
      <c r="P47" s="14">
        <v>4.0629</v>
      </c>
      <c r="Q47" s="14">
        <v>7.2599999999999998E-2</v>
      </c>
      <c r="R47" s="14">
        <v>0.2054</v>
      </c>
      <c r="S47" s="14">
        <v>5.62E-2</v>
      </c>
      <c r="T47" s="14">
        <v>9.6312999999999995</v>
      </c>
      <c r="U47" s="14">
        <v>0.1845</v>
      </c>
      <c r="V47" s="14">
        <v>0.34460000000000002</v>
      </c>
      <c r="W47" s="14">
        <v>8.8700000000000001E-2</v>
      </c>
      <c r="X47" s="14">
        <v>0.94989999999999997</v>
      </c>
      <c r="Y47" s="14">
        <v>6.7900000000000002E-2</v>
      </c>
      <c r="Z47" s="14">
        <v>0.14990000000000001</v>
      </c>
      <c r="AA47" s="14">
        <v>4.7600000000000003E-2</v>
      </c>
      <c r="AB47" s="14">
        <v>2.2092999999999998</v>
      </c>
      <c r="AC47" s="14">
        <v>0.14599999999999999</v>
      </c>
      <c r="AD47" s="15">
        <f t="shared" si="3"/>
        <v>98.054999999999993</v>
      </c>
    </row>
    <row r="48" spans="1:30" x14ac:dyDescent="0.25">
      <c r="A48" s="12" t="s">
        <v>36</v>
      </c>
      <c r="B48" s="13" t="s">
        <v>229</v>
      </c>
      <c r="C48" s="13">
        <v>2</v>
      </c>
      <c r="D48" s="6">
        <v>1100</v>
      </c>
      <c r="E48" s="6">
        <v>250</v>
      </c>
      <c r="F48" s="7">
        <f t="shared" si="2"/>
        <v>7.2833211944646763</v>
      </c>
      <c r="G48" s="7" t="s">
        <v>25</v>
      </c>
      <c r="H48" s="14">
        <v>40.195399999999999</v>
      </c>
      <c r="I48" s="14">
        <v>0.2626</v>
      </c>
      <c r="J48" s="14">
        <v>0.44890000000000002</v>
      </c>
      <c r="K48" s="14">
        <v>4.1200000000000001E-2</v>
      </c>
      <c r="L48" s="14">
        <v>13.3879</v>
      </c>
      <c r="M48" s="14">
        <v>0.32129999999999997</v>
      </c>
      <c r="N48" s="14">
        <v>26.896599999999999</v>
      </c>
      <c r="O48" s="14">
        <v>0.4582</v>
      </c>
      <c r="P48" s="14">
        <v>4.1128</v>
      </c>
      <c r="Q48" s="14">
        <v>7.2599999999999998E-2</v>
      </c>
      <c r="R48" s="14">
        <v>0.2001</v>
      </c>
      <c r="S48" s="14">
        <v>5.5199999999999999E-2</v>
      </c>
      <c r="T48" s="14">
        <v>9.4649999999999999</v>
      </c>
      <c r="U48" s="14">
        <v>0.18310000000000001</v>
      </c>
      <c r="V48" s="14">
        <v>0.34200000000000003</v>
      </c>
      <c r="W48" s="14">
        <v>8.8599999999999998E-2</v>
      </c>
      <c r="X48" s="14">
        <v>0.98740000000000006</v>
      </c>
      <c r="Y48" s="14">
        <v>6.9500000000000006E-2</v>
      </c>
      <c r="Z48" s="14">
        <v>0.12640000000000001</v>
      </c>
      <c r="AA48" s="14">
        <v>4.1300000000000003E-2</v>
      </c>
      <c r="AB48" s="14">
        <v>2.0205000000000002</v>
      </c>
      <c r="AC48" s="14">
        <v>0.14430000000000001</v>
      </c>
      <c r="AD48" s="15">
        <f t="shared" si="3"/>
        <v>98.182999999999993</v>
      </c>
    </row>
    <row r="49" spans="1:30" x14ac:dyDescent="0.25">
      <c r="A49" s="12" t="s">
        <v>36</v>
      </c>
      <c r="B49" s="13" t="s">
        <v>229</v>
      </c>
      <c r="C49" s="13">
        <v>3</v>
      </c>
      <c r="D49" s="6">
        <v>1100</v>
      </c>
      <c r="E49" s="6">
        <v>250</v>
      </c>
      <c r="F49" s="7">
        <f t="shared" si="2"/>
        <v>7.2833211944646763</v>
      </c>
      <c r="G49" s="7" t="s">
        <v>25</v>
      </c>
      <c r="H49" s="14">
        <v>40.539700000000003</v>
      </c>
      <c r="I49" s="14">
        <v>0.26369999999999999</v>
      </c>
      <c r="J49" s="14">
        <v>0.43959999999999999</v>
      </c>
      <c r="K49" s="14">
        <v>0.04</v>
      </c>
      <c r="L49" s="14">
        <v>13.664099999999999</v>
      </c>
      <c r="M49" s="14">
        <v>0.32400000000000001</v>
      </c>
      <c r="N49" s="14">
        <v>27.2486</v>
      </c>
      <c r="O49" s="14">
        <v>0.4612</v>
      </c>
      <c r="P49" s="14">
        <v>4.0785</v>
      </c>
      <c r="Q49" s="14">
        <v>7.2400000000000006E-2</v>
      </c>
      <c r="R49" s="14">
        <v>0.23250000000000001</v>
      </c>
      <c r="S49" s="14">
        <v>5.8500000000000003E-2</v>
      </c>
      <c r="T49" s="14">
        <v>9.6722000000000001</v>
      </c>
      <c r="U49" s="14">
        <v>0.185</v>
      </c>
      <c r="V49" s="14">
        <v>0.44130000000000003</v>
      </c>
      <c r="W49" s="14">
        <v>9.6100000000000005E-2</v>
      </c>
      <c r="X49" s="14">
        <v>0.92620000000000002</v>
      </c>
      <c r="Y49" s="14">
        <v>6.6699999999999995E-2</v>
      </c>
      <c r="Z49" s="14">
        <v>0.2021</v>
      </c>
      <c r="AA49" s="14">
        <v>4.7899999999999998E-2</v>
      </c>
      <c r="AB49" s="14">
        <v>2.1518999999999999</v>
      </c>
      <c r="AC49" s="14">
        <v>0.1462</v>
      </c>
      <c r="AD49" s="15">
        <f t="shared" si="3"/>
        <v>99.596699999999998</v>
      </c>
    </row>
    <row r="50" spans="1:30" x14ac:dyDescent="0.25">
      <c r="A50" s="12" t="s">
        <v>36</v>
      </c>
      <c r="B50" s="13" t="s">
        <v>229</v>
      </c>
      <c r="C50" s="13">
        <v>4</v>
      </c>
      <c r="D50" s="6">
        <v>1100</v>
      </c>
      <c r="E50" s="6">
        <v>250</v>
      </c>
      <c r="F50" s="7">
        <f t="shared" si="2"/>
        <v>7.2833211944646763</v>
      </c>
      <c r="G50" s="7" t="s">
        <v>25</v>
      </c>
      <c r="H50" s="14">
        <v>40.394199999999998</v>
      </c>
      <c r="I50" s="14">
        <v>0.26329999999999998</v>
      </c>
      <c r="J50" s="14">
        <v>0.46860000000000002</v>
      </c>
      <c r="K50" s="14">
        <v>4.1399999999999999E-2</v>
      </c>
      <c r="L50" s="14">
        <v>13.75</v>
      </c>
      <c r="M50" s="14">
        <v>0.32500000000000001</v>
      </c>
      <c r="N50" s="14">
        <v>27.0063</v>
      </c>
      <c r="O50" s="14">
        <v>0.4597</v>
      </c>
      <c r="P50" s="14">
        <v>3.9952999999999999</v>
      </c>
      <c r="Q50" s="14">
        <v>7.1999999999999995E-2</v>
      </c>
      <c r="R50" s="14">
        <v>0.24940000000000001</v>
      </c>
      <c r="S50" s="14">
        <v>5.7200000000000001E-2</v>
      </c>
      <c r="T50" s="14">
        <v>9.5376999999999992</v>
      </c>
      <c r="U50" s="14">
        <v>0.1837</v>
      </c>
      <c r="V50" s="14">
        <v>0.2757</v>
      </c>
      <c r="W50" s="14">
        <v>8.3500000000000005E-2</v>
      </c>
      <c r="X50" s="14">
        <v>0.96109999999999995</v>
      </c>
      <c r="Y50" s="14">
        <v>6.8099999999999994E-2</v>
      </c>
      <c r="Z50" s="14">
        <v>0.13400000000000001</v>
      </c>
      <c r="AA50" s="14">
        <v>4.53E-2</v>
      </c>
      <c r="AB50" s="14">
        <v>2.1745999999999999</v>
      </c>
      <c r="AC50" s="14">
        <v>0.14560000000000001</v>
      </c>
      <c r="AD50" s="15">
        <f t="shared" si="3"/>
        <v>98.946899999999999</v>
      </c>
    </row>
    <row r="51" spans="1:30" x14ac:dyDescent="0.25">
      <c r="A51" s="12" t="s">
        <v>36</v>
      </c>
      <c r="B51" s="13" t="s">
        <v>229</v>
      </c>
      <c r="C51" s="13">
        <v>5</v>
      </c>
      <c r="D51" s="6">
        <v>1100</v>
      </c>
      <c r="E51" s="6">
        <v>250</v>
      </c>
      <c r="F51" s="7">
        <f t="shared" si="2"/>
        <v>7.2833211944646763</v>
      </c>
      <c r="G51" s="7" t="s">
        <v>25</v>
      </c>
      <c r="H51" s="14">
        <v>40.305900000000001</v>
      </c>
      <c r="I51" s="14">
        <v>0.26279999999999998</v>
      </c>
      <c r="J51" s="14">
        <v>0.39460000000000001</v>
      </c>
      <c r="K51" s="14">
        <v>0.04</v>
      </c>
      <c r="L51" s="14">
        <v>13.5695</v>
      </c>
      <c r="M51" s="14">
        <v>0.3231</v>
      </c>
      <c r="N51" s="14">
        <v>27.055</v>
      </c>
      <c r="O51" s="14">
        <v>0.46010000000000001</v>
      </c>
      <c r="P51" s="14">
        <v>4.0765000000000002</v>
      </c>
      <c r="Q51" s="14">
        <v>7.22E-2</v>
      </c>
      <c r="R51" s="14">
        <v>0.25690000000000002</v>
      </c>
      <c r="S51" s="14">
        <v>5.8900000000000001E-2</v>
      </c>
      <c r="T51" s="14">
        <v>9.5510999999999999</v>
      </c>
      <c r="U51" s="14">
        <v>0.1837</v>
      </c>
      <c r="V51" s="14">
        <v>0.3765</v>
      </c>
      <c r="W51" s="14">
        <v>9.2499999999999999E-2</v>
      </c>
      <c r="X51" s="14">
        <v>0.96970000000000001</v>
      </c>
      <c r="Y51" s="14">
        <v>6.8699999999999997E-2</v>
      </c>
      <c r="Z51" s="14">
        <v>0.21820000000000001</v>
      </c>
      <c r="AA51" s="14">
        <v>4.7399999999999998E-2</v>
      </c>
      <c r="AB51" s="14">
        <v>2.2504</v>
      </c>
      <c r="AC51" s="14">
        <v>0.1479</v>
      </c>
      <c r="AD51" s="15">
        <v>98.512600000000006</v>
      </c>
    </row>
    <row r="52" spans="1:30" x14ac:dyDescent="0.25">
      <c r="A52" s="2" t="s">
        <v>37</v>
      </c>
      <c r="B52" s="16">
        <v>15386</v>
      </c>
      <c r="C52" s="16">
        <v>1</v>
      </c>
      <c r="D52" s="8">
        <v>1100</v>
      </c>
      <c r="E52" s="8">
        <v>195</v>
      </c>
      <c r="F52" s="9">
        <f t="shared" si="2"/>
        <v>7.2833211944646763</v>
      </c>
      <c r="G52" s="9" t="s">
        <v>27</v>
      </c>
      <c r="H52" s="18">
        <v>54.4955</v>
      </c>
      <c r="I52" s="18">
        <v>0.31740000000000002</v>
      </c>
      <c r="J52" s="18">
        <v>0.01</v>
      </c>
      <c r="K52" s="18">
        <v>9.5999999999999992E-3</v>
      </c>
      <c r="L52" s="18">
        <v>16.540800000000001</v>
      </c>
      <c r="M52" s="18">
        <v>0.34439999999999998</v>
      </c>
      <c r="N52" s="18">
        <v>0.53080000000000005</v>
      </c>
      <c r="O52" s="18">
        <v>7.0199999999999999E-2</v>
      </c>
      <c r="P52" s="18">
        <v>9.7121999999999993</v>
      </c>
      <c r="Q52" s="18">
        <v>0.1021</v>
      </c>
      <c r="R52" s="18">
        <v>4.4000000000000003E-3</v>
      </c>
      <c r="S52" s="18">
        <v>4.02E-2</v>
      </c>
      <c r="T52" s="18">
        <v>1.9400000000000001E-2</v>
      </c>
      <c r="U52" s="18">
        <v>1.52E-2</v>
      </c>
      <c r="V52" s="18">
        <v>1.2186999999999999</v>
      </c>
      <c r="W52" s="18">
        <v>0.13</v>
      </c>
      <c r="X52" s="18">
        <v>-2.0999999999999999E-3</v>
      </c>
      <c r="Y52" s="18">
        <v>7.7000000000000002E-3</v>
      </c>
      <c r="Z52" s="18">
        <v>3.09E-2</v>
      </c>
      <c r="AA52" s="18">
        <v>1.9400000000000001E-2</v>
      </c>
      <c r="AB52" s="18">
        <v>1.0506</v>
      </c>
      <c r="AC52" s="18">
        <v>0.10639999999999999</v>
      </c>
      <c r="AD52" s="18">
        <f>SUM(H52,J52,L52,N52,P52,R52,T52,V52,X52,Z52,AB52)</f>
        <v>83.611200000000011</v>
      </c>
    </row>
    <row r="53" spans="1:30" x14ac:dyDescent="0.25">
      <c r="A53" s="2" t="s">
        <v>37</v>
      </c>
      <c r="B53" s="16">
        <v>15386</v>
      </c>
      <c r="C53" s="16">
        <v>2</v>
      </c>
      <c r="D53" s="8">
        <v>1100</v>
      </c>
      <c r="E53" s="8">
        <v>195</v>
      </c>
      <c r="F53" s="9">
        <f t="shared" si="2"/>
        <v>7.2833211944646763</v>
      </c>
      <c r="G53" s="9" t="s">
        <v>27</v>
      </c>
      <c r="H53" s="18">
        <v>53.962000000000003</v>
      </c>
      <c r="I53" s="18">
        <v>0.3155</v>
      </c>
      <c r="J53" s="18">
        <v>6.7999999999999996E-3</v>
      </c>
      <c r="K53" s="18">
        <v>9.7999999999999997E-3</v>
      </c>
      <c r="L53" s="18">
        <v>16.3948</v>
      </c>
      <c r="M53" s="18">
        <v>0.34229999999999999</v>
      </c>
      <c r="N53" s="18">
        <v>0.54049999999999998</v>
      </c>
      <c r="O53" s="18">
        <v>6.8099999999999994E-2</v>
      </c>
      <c r="P53" s="18">
        <v>8.8223000000000003</v>
      </c>
      <c r="Q53" s="18">
        <v>9.7500000000000003E-2</v>
      </c>
      <c r="R53" s="18">
        <v>-2.2000000000000001E-3</v>
      </c>
      <c r="S53" s="18">
        <v>4.2700000000000002E-2</v>
      </c>
      <c r="T53" s="18">
        <v>1.72E-2</v>
      </c>
      <c r="U53" s="18">
        <v>1.5800000000000002E-2</v>
      </c>
      <c r="V53" s="18">
        <v>1.2888999999999999</v>
      </c>
      <c r="W53" s="18">
        <v>0.13320000000000001</v>
      </c>
      <c r="X53" s="18">
        <v>6.9999999999999999E-4</v>
      </c>
      <c r="Y53" s="18">
        <v>8.8000000000000005E-3</v>
      </c>
      <c r="Z53" s="18">
        <v>2.8000000000000001E-2</v>
      </c>
      <c r="AA53" s="18">
        <v>2.1100000000000001E-2</v>
      </c>
      <c r="AB53" s="18">
        <v>1.2603</v>
      </c>
      <c r="AC53" s="18">
        <v>0.1147</v>
      </c>
      <c r="AD53" s="18">
        <f t="shared" ref="AD53" si="4">SUM(H53,J53,L53,N53,P53,R53,T53,V53,X53,Z53,AB53)</f>
        <v>82.319299999999998</v>
      </c>
    </row>
    <row r="54" spans="1:30" x14ac:dyDescent="0.25">
      <c r="A54" s="2" t="s">
        <v>37</v>
      </c>
      <c r="B54" s="16">
        <v>15386</v>
      </c>
      <c r="C54" s="16">
        <v>3</v>
      </c>
      <c r="D54" s="8">
        <v>1100</v>
      </c>
      <c r="E54" s="8">
        <v>195</v>
      </c>
      <c r="F54" s="9">
        <f t="shared" si="2"/>
        <v>7.2833211944646763</v>
      </c>
      <c r="G54" s="9" t="s">
        <v>27</v>
      </c>
      <c r="H54" s="18">
        <v>53.438299999999998</v>
      </c>
      <c r="I54" s="18">
        <v>0.31390000000000001</v>
      </c>
      <c r="J54" s="18">
        <v>-1.1999999999999999E-3</v>
      </c>
      <c r="K54" s="18">
        <v>9.1999999999999998E-3</v>
      </c>
      <c r="L54" s="18">
        <v>16.095700000000001</v>
      </c>
      <c r="M54" s="18">
        <v>0.33960000000000001</v>
      </c>
      <c r="N54" s="18">
        <v>0.51859999999999995</v>
      </c>
      <c r="O54" s="18">
        <v>7.1099999999999997E-2</v>
      </c>
      <c r="P54" s="18">
        <v>9.0645000000000007</v>
      </c>
      <c r="Q54" s="18">
        <v>9.8900000000000002E-2</v>
      </c>
      <c r="R54" s="18">
        <v>2.5499999999999998E-2</v>
      </c>
      <c r="S54" s="18">
        <v>4.2200000000000001E-2</v>
      </c>
      <c r="T54" s="18">
        <v>1.8700000000000001E-2</v>
      </c>
      <c r="U54" s="18">
        <v>1.5299999999999999E-2</v>
      </c>
      <c r="V54" s="18">
        <v>1.1282000000000001</v>
      </c>
      <c r="W54" s="18">
        <v>0.1258</v>
      </c>
      <c r="X54" s="18">
        <v>1.4E-3</v>
      </c>
      <c r="Y54" s="18">
        <v>9.7000000000000003E-3</v>
      </c>
      <c r="Z54" s="18">
        <v>7.9000000000000008E-3</v>
      </c>
      <c r="AA54" s="18">
        <v>1.26E-2</v>
      </c>
      <c r="AB54" s="18">
        <v>1.0327</v>
      </c>
      <c r="AC54" s="18">
        <v>0.10249999999999999</v>
      </c>
      <c r="AD54" s="18">
        <f>SUM(H54,J54,L54,N54,P54,R54,T54,V54,X54,Z54,AB54)</f>
        <v>81.330300000000022</v>
      </c>
    </row>
    <row r="55" spans="1:30" x14ac:dyDescent="0.25">
      <c r="A55" s="2" t="s">
        <v>37</v>
      </c>
      <c r="B55" s="16">
        <v>15386</v>
      </c>
      <c r="C55" s="16">
        <v>4</v>
      </c>
      <c r="D55" s="8">
        <v>1100</v>
      </c>
      <c r="E55" s="8">
        <v>195</v>
      </c>
      <c r="F55" s="9">
        <f t="shared" si="2"/>
        <v>7.2833211944646763</v>
      </c>
      <c r="G55" s="9" t="s">
        <v>27</v>
      </c>
      <c r="H55" s="18">
        <v>55.267600000000002</v>
      </c>
      <c r="I55" s="18">
        <v>0.31990000000000002</v>
      </c>
      <c r="J55" s="18">
        <v>-3.0999999999999999E-3</v>
      </c>
      <c r="K55" s="18">
        <v>8.8999999999999999E-3</v>
      </c>
      <c r="L55" s="18">
        <v>16.581700000000001</v>
      </c>
      <c r="M55" s="18">
        <v>0.34420000000000001</v>
      </c>
      <c r="N55" s="18">
        <v>0.51539999999999997</v>
      </c>
      <c r="O55" s="18">
        <v>6.9199999999999998E-2</v>
      </c>
      <c r="P55" s="18">
        <v>8.6556999999999995</v>
      </c>
      <c r="Q55" s="18">
        <v>9.6500000000000002E-2</v>
      </c>
      <c r="R55" s="18">
        <v>3.7699999999999997E-2</v>
      </c>
      <c r="S55" s="18">
        <v>4.3999999999999997E-2</v>
      </c>
      <c r="T55" s="18">
        <v>4.7899999999999998E-2</v>
      </c>
      <c r="U55" s="18">
        <v>1.67E-2</v>
      </c>
      <c r="V55" s="18">
        <v>1.1952</v>
      </c>
      <c r="W55" s="18">
        <v>0.1293</v>
      </c>
      <c r="X55" s="18">
        <v>6.9999999999999999E-4</v>
      </c>
      <c r="Y55" s="18">
        <v>7.7000000000000002E-3</v>
      </c>
      <c r="Z55" s="18">
        <v>2.8E-3</v>
      </c>
      <c r="AA55" s="18">
        <v>1.5699999999999999E-2</v>
      </c>
      <c r="AB55" s="18">
        <v>0.93530000000000002</v>
      </c>
      <c r="AC55" s="18">
        <v>0.1009</v>
      </c>
      <c r="AD55" s="18">
        <f>SUM(H55,J55,L55,N55,P55,R55,T55,V55,X55,Z55,AB55)</f>
        <v>83.236899999999977</v>
      </c>
    </row>
    <row r="56" spans="1:30" x14ac:dyDescent="0.25">
      <c r="A56" s="12" t="s">
        <v>38</v>
      </c>
      <c r="B56" s="13" t="s">
        <v>228</v>
      </c>
      <c r="C56" s="13">
        <v>1</v>
      </c>
      <c r="D56" s="6">
        <v>1100</v>
      </c>
      <c r="E56" s="6">
        <v>195</v>
      </c>
      <c r="F56" s="7">
        <f t="shared" si="2"/>
        <v>7.2833211944646763</v>
      </c>
      <c r="G56" s="7" t="s">
        <v>27</v>
      </c>
      <c r="H56" s="14">
        <v>56.1265</v>
      </c>
      <c r="I56" s="14">
        <v>0.31690000000000002</v>
      </c>
      <c r="J56" s="14">
        <v>2.4026000000000001</v>
      </c>
      <c r="K56" s="14">
        <v>7.5300000000000006E-2</v>
      </c>
      <c r="L56" s="14">
        <v>13.071300000000001</v>
      </c>
      <c r="M56" s="14">
        <v>0.30159999999999998</v>
      </c>
      <c r="N56" s="14">
        <v>0.64580000000000004</v>
      </c>
      <c r="O56" s="14">
        <v>7.5600000000000001E-2</v>
      </c>
      <c r="P56" s="14">
        <v>2.7877999999999998</v>
      </c>
      <c r="Q56" s="14">
        <v>5.62E-2</v>
      </c>
      <c r="R56" s="14">
        <v>3.32E-2</v>
      </c>
      <c r="S56" s="14">
        <v>4.2299999999999997E-2</v>
      </c>
      <c r="T56" s="14">
        <v>9.3854000000000006</v>
      </c>
      <c r="U56" s="14">
        <v>0.1857</v>
      </c>
      <c r="V56" s="14">
        <v>1.9448000000000001</v>
      </c>
      <c r="W56" s="14">
        <v>0.16400000000000001</v>
      </c>
      <c r="X56" s="14">
        <v>1.5424</v>
      </c>
      <c r="Y56" s="14">
        <v>8.6199999999999999E-2</v>
      </c>
      <c r="Z56" s="14">
        <v>1.333</v>
      </c>
      <c r="AA56" s="14">
        <v>0.1003</v>
      </c>
      <c r="AB56" s="14">
        <v>1.4202999999999999</v>
      </c>
      <c r="AC56" s="14">
        <v>0.12690000000000001</v>
      </c>
      <c r="AD56" s="15">
        <f t="shared" ref="AD56:AD59" si="5">SUM(H56,J56,L56,N56,P56,R56,T56,V56,X56,Z56,AB56)</f>
        <v>90.693100000000001</v>
      </c>
    </row>
    <row r="57" spans="1:30" x14ac:dyDescent="0.25">
      <c r="A57" s="12" t="s">
        <v>38</v>
      </c>
      <c r="B57" s="13" t="s">
        <v>228</v>
      </c>
      <c r="C57" s="13">
        <v>2</v>
      </c>
      <c r="D57" s="6">
        <v>1100</v>
      </c>
      <c r="E57" s="6">
        <v>195</v>
      </c>
      <c r="F57" s="7">
        <f t="shared" si="2"/>
        <v>7.2833211944646763</v>
      </c>
      <c r="G57" s="7" t="s">
        <v>27</v>
      </c>
      <c r="H57" s="14">
        <v>56.051400000000001</v>
      </c>
      <c r="I57" s="14">
        <v>0.31640000000000001</v>
      </c>
      <c r="J57" s="14">
        <v>2.3999000000000001</v>
      </c>
      <c r="K57" s="14">
        <v>7.4999999999999997E-2</v>
      </c>
      <c r="L57" s="14">
        <v>13.053100000000001</v>
      </c>
      <c r="M57" s="14">
        <v>0.3014</v>
      </c>
      <c r="N57" s="14">
        <v>0.70009999999999994</v>
      </c>
      <c r="O57" s="14">
        <v>7.6600000000000001E-2</v>
      </c>
      <c r="P57" s="14">
        <v>2.9272</v>
      </c>
      <c r="Q57" s="14">
        <v>5.7500000000000002E-2</v>
      </c>
      <c r="R57" s="14">
        <v>4.0899999999999999E-2</v>
      </c>
      <c r="S57" s="14">
        <v>4.4400000000000002E-2</v>
      </c>
      <c r="T57" s="14">
        <v>9.1816999999999993</v>
      </c>
      <c r="U57" s="14">
        <v>0.18379999999999999</v>
      </c>
      <c r="V57" s="14">
        <v>1.9533</v>
      </c>
      <c r="W57" s="14">
        <v>0.1636</v>
      </c>
      <c r="X57" s="14">
        <v>1.5179</v>
      </c>
      <c r="Y57" s="14">
        <v>8.5900000000000004E-2</v>
      </c>
      <c r="Z57" s="14">
        <v>1.2704</v>
      </c>
      <c r="AA57" s="14">
        <v>9.7600000000000006E-2</v>
      </c>
      <c r="AB57" s="14">
        <v>1.4701</v>
      </c>
      <c r="AC57" s="14">
        <v>0.12740000000000001</v>
      </c>
      <c r="AD57" s="15">
        <f t="shared" si="5"/>
        <v>90.565999999999988</v>
      </c>
    </row>
    <row r="58" spans="1:30" x14ac:dyDescent="0.25">
      <c r="A58" s="12" t="s">
        <v>38</v>
      </c>
      <c r="B58" s="13" t="s">
        <v>228</v>
      </c>
      <c r="C58" s="13">
        <v>3</v>
      </c>
      <c r="D58" s="6">
        <v>1100</v>
      </c>
      <c r="E58" s="6">
        <v>195</v>
      </c>
      <c r="F58" s="7">
        <f t="shared" si="2"/>
        <v>7.2833211944646763</v>
      </c>
      <c r="G58" s="7" t="s">
        <v>27</v>
      </c>
      <c r="H58" s="14">
        <v>55.716299999999997</v>
      </c>
      <c r="I58" s="14">
        <v>0.31540000000000001</v>
      </c>
      <c r="J58" s="14">
        <v>2.4201999999999999</v>
      </c>
      <c r="K58" s="14">
        <v>7.51E-2</v>
      </c>
      <c r="L58" s="14">
        <v>12.8171</v>
      </c>
      <c r="M58" s="14">
        <v>0.29899999999999999</v>
      </c>
      <c r="N58" s="14">
        <v>0.77690000000000003</v>
      </c>
      <c r="O58" s="14">
        <v>8.1299999999999997E-2</v>
      </c>
      <c r="P58" s="14">
        <v>3.1166</v>
      </c>
      <c r="Q58" s="14">
        <v>5.91E-2</v>
      </c>
      <c r="R58" s="14">
        <v>-5.4999999999999997E-3</v>
      </c>
      <c r="S58" s="14">
        <v>4.3499999999999997E-2</v>
      </c>
      <c r="T58" s="14">
        <v>9.1385000000000005</v>
      </c>
      <c r="U58" s="14">
        <v>0.18279999999999999</v>
      </c>
      <c r="V58" s="14">
        <v>2.0268999999999999</v>
      </c>
      <c r="W58" s="14">
        <v>0.16639999999999999</v>
      </c>
      <c r="X58" s="14">
        <v>1.5437000000000001</v>
      </c>
      <c r="Y58" s="14">
        <v>8.6099999999999996E-2</v>
      </c>
      <c r="Z58" s="14">
        <v>1.2576000000000001</v>
      </c>
      <c r="AA58" s="14">
        <v>9.9699999999999997E-2</v>
      </c>
      <c r="AB58" s="14">
        <v>1.4724999999999999</v>
      </c>
      <c r="AC58" s="14">
        <v>0.1298</v>
      </c>
      <c r="AD58" s="15">
        <f t="shared" si="5"/>
        <v>90.280799999999985</v>
      </c>
    </row>
    <row r="59" spans="1:30" x14ac:dyDescent="0.25">
      <c r="A59" s="12" t="s">
        <v>38</v>
      </c>
      <c r="B59" s="13" t="s">
        <v>228</v>
      </c>
      <c r="C59" s="13">
        <v>4</v>
      </c>
      <c r="D59" s="6">
        <v>1100</v>
      </c>
      <c r="E59" s="6">
        <v>195</v>
      </c>
      <c r="F59" s="7">
        <f t="shared" si="2"/>
        <v>7.2833211944646763</v>
      </c>
      <c r="G59" s="7" t="s">
        <v>27</v>
      </c>
      <c r="H59" s="14">
        <v>55.819899999999997</v>
      </c>
      <c r="I59" s="14">
        <v>0.31559999999999999</v>
      </c>
      <c r="J59" s="14">
        <v>2.4195000000000002</v>
      </c>
      <c r="K59" s="14">
        <v>7.4999999999999997E-2</v>
      </c>
      <c r="L59" s="14">
        <v>12.6981</v>
      </c>
      <c r="M59" s="14">
        <v>0.29730000000000001</v>
      </c>
      <c r="N59" s="14">
        <v>0.82150000000000001</v>
      </c>
      <c r="O59" s="14">
        <v>8.2000000000000003E-2</v>
      </c>
      <c r="P59" s="14">
        <v>2.9036</v>
      </c>
      <c r="Q59" s="14">
        <v>5.7299999999999997E-2</v>
      </c>
      <c r="R59" s="14">
        <v>6.6E-3</v>
      </c>
      <c r="S59" s="14">
        <v>3.9800000000000002E-2</v>
      </c>
      <c r="T59" s="14">
        <v>9.4948999999999995</v>
      </c>
      <c r="U59" s="14">
        <v>0.18690000000000001</v>
      </c>
      <c r="V59" s="14">
        <v>1.9873000000000001</v>
      </c>
      <c r="W59" s="14">
        <v>0.1663</v>
      </c>
      <c r="X59" s="14">
        <v>1.4901</v>
      </c>
      <c r="Y59" s="14">
        <v>8.4500000000000006E-2</v>
      </c>
      <c r="Z59" s="14">
        <v>1.1994</v>
      </c>
      <c r="AA59" s="14">
        <v>9.5799999999999996E-2</v>
      </c>
      <c r="AB59" s="14">
        <v>1.5065999999999999</v>
      </c>
      <c r="AC59" s="14">
        <v>0.1305</v>
      </c>
      <c r="AD59" s="15">
        <f t="shared" si="5"/>
        <v>90.347500000000011</v>
      </c>
    </row>
    <row r="60" spans="1:30" x14ac:dyDescent="0.25">
      <c r="A60" s="12" t="s">
        <v>38</v>
      </c>
      <c r="B60" s="13" t="s">
        <v>228</v>
      </c>
      <c r="C60" s="13">
        <v>5</v>
      </c>
      <c r="D60" s="6">
        <v>1100</v>
      </c>
      <c r="E60" s="6">
        <v>195</v>
      </c>
      <c r="F60" s="7">
        <f t="shared" si="2"/>
        <v>7.2833211944646763</v>
      </c>
      <c r="G60" s="7" t="s">
        <v>27</v>
      </c>
      <c r="H60" s="14">
        <v>55.784199999999998</v>
      </c>
      <c r="I60" s="14">
        <v>0.31540000000000001</v>
      </c>
      <c r="J60" s="14">
        <v>2.5398000000000001</v>
      </c>
      <c r="K60" s="14">
        <v>7.6899999999999996E-2</v>
      </c>
      <c r="L60" s="14">
        <v>12.928699999999999</v>
      </c>
      <c r="M60" s="14">
        <v>0.3</v>
      </c>
      <c r="N60" s="14">
        <v>0.68140000000000001</v>
      </c>
      <c r="O60" s="14">
        <v>7.7899999999999997E-2</v>
      </c>
      <c r="P60" s="14">
        <v>2.8292000000000002</v>
      </c>
      <c r="Q60" s="14">
        <v>5.6800000000000003E-2</v>
      </c>
      <c r="R60" s="14">
        <v>2.2000000000000001E-3</v>
      </c>
      <c r="S60" s="14">
        <v>4.2799999999999998E-2</v>
      </c>
      <c r="T60" s="14">
        <v>9.4476999999999993</v>
      </c>
      <c r="U60" s="14">
        <v>0.18609999999999999</v>
      </c>
      <c r="V60" s="14">
        <v>1.9849000000000001</v>
      </c>
      <c r="W60" s="14">
        <v>0.16489999999999999</v>
      </c>
      <c r="X60" s="14">
        <v>1.4923999999999999</v>
      </c>
      <c r="Y60" s="14">
        <v>8.4699999999999998E-2</v>
      </c>
      <c r="Z60" s="14">
        <v>1.2770999999999999</v>
      </c>
      <c r="AA60" s="14">
        <v>9.8400000000000001E-2</v>
      </c>
      <c r="AB60" s="14">
        <v>1.4458</v>
      </c>
      <c r="AC60" s="14">
        <v>0.12759999999999999</v>
      </c>
      <c r="AD60" s="15">
        <v>98.512600000000006</v>
      </c>
    </row>
    <row r="61" spans="1:30" x14ac:dyDescent="0.25">
      <c r="A61" s="2" t="s">
        <v>39</v>
      </c>
      <c r="B61" s="16" t="s">
        <v>229</v>
      </c>
      <c r="C61" s="16">
        <v>1</v>
      </c>
      <c r="D61" s="8">
        <v>1100</v>
      </c>
      <c r="E61" s="8">
        <v>195</v>
      </c>
      <c r="F61" s="9">
        <f t="shared" si="2"/>
        <v>7.2833211944646763</v>
      </c>
      <c r="G61" s="9" t="s">
        <v>27</v>
      </c>
      <c r="H61" s="17">
        <v>48.614400000000003</v>
      </c>
      <c r="I61" s="17">
        <v>0.29399999999999998</v>
      </c>
      <c r="J61" s="17">
        <v>0.53769999999999996</v>
      </c>
      <c r="K61" s="17">
        <v>4.19E-2</v>
      </c>
      <c r="L61" s="17">
        <v>22.968399999999999</v>
      </c>
      <c r="M61" s="17">
        <v>0.40079999999999999</v>
      </c>
      <c r="N61" s="17">
        <v>0.1774</v>
      </c>
      <c r="O61" s="17">
        <v>5.6000000000000001E-2</v>
      </c>
      <c r="P61" s="17">
        <v>5.9603000000000002</v>
      </c>
      <c r="Q61" s="17">
        <v>8.0199999999999994E-2</v>
      </c>
      <c r="R61" s="17">
        <v>1.44E-2</v>
      </c>
      <c r="S61" s="17">
        <v>4.1799999999999997E-2</v>
      </c>
      <c r="T61" s="17">
        <v>11.656000000000001</v>
      </c>
      <c r="U61" s="17">
        <v>0.20760000000000001</v>
      </c>
      <c r="V61" s="17">
        <v>0.4551</v>
      </c>
      <c r="W61" s="17">
        <v>8.5400000000000004E-2</v>
      </c>
      <c r="X61" s="17">
        <v>1.1500999999999999</v>
      </c>
      <c r="Y61" s="17">
        <v>7.46E-2</v>
      </c>
      <c r="Z61" s="17">
        <v>0.20960000000000001</v>
      </c>
      <c r="AA61" s="17">
        <v>4.87E-2</v>
      </c>
      <c r="AB61" s="17">
        <v>1.3206</v>
      </c>
      <c r="AC61" s="17">
        <v>0.1208</v>
      </c>
      <c r="AD61" s="18">
        <f>SUM(H61,J61,L61,N61,P61,R61,T61,V61,X61,Z61,AB61)</f>
        <v>93.064000000000007</v>
      </c>
    </row>
    <row r="62" spans="1:30" x14ac:dyDescent="0.25">
      <c r="A62" s="2" t="s">
        <v>39</v>
      </c>
      <c r="B62" s="16" t="s">
        <v>229</v>
      </c>
      <c r="C62" s="16">
        <v>2</v>
      </c>
      <c r="D62" s="8">
        <v>1100</v>
      </c>
      <c r="E62" s="8">
        <v>195</v>
      </c>
      <c r="F62" s="9">
        <f t="shared" si="2"/>
        <v>7.2833211944646763</v>
      </c>
      <c r="G62" s="9" t="s">
        <v>27</v>
      </c>
      <c r="H62" s="17">
        <v>48.375599999999999</v>
      </c>
      <c r="I62" s="17">
        <v>0.29360000000000003</v>
      </c>
      <c r="J62" s="17">
        <v>0.57840000000000003</v>
      </c>
      <c r="K62" s="17">
        <v>4.3400000000000001E-2</v>
      </c>
      <c r="L62" s="17">
        <v>23.6052</v>
      </c>
      <c r="M62" s="17">
        <v>0.40629999999999999</v>
      </c>
      <c r="N62" s="17">
        <v>0.22439999999999999</v>
      </c>
      <c r="O62" s="17">
        <v>5.5500000000000001E-2</v>
      </c>
      <c r="P62" s="17">
        <v>6.0429000000000004</v>
      </c>
      <c r="Q62" s="17">
        <v>8.0799999999999997E-2</v>
      </c>
      <c r="R62" s="17">
        <v>3.09E-2</v>
      </c>
      <c r="S62" s="17">
        <v>4.2200000000000001E-2</v>
      </c>
      <c r="T62" s="17">
        <v>11.581799999999999</v>
      </c>
      <c r="U62" s="17">
        <v>0.2074</v>
      </c>
      <c r="V62" s="17">
        <v>0.44940000000000002</v>
      </c>
      <c r="W62" s="17">
        <v>8.6300000000000002E-2</v>
      </c>
      <c r="X62" s="17">
        <v>1.1444000000000001</v>
      </c>
      <c r="Y62" s="17">
        <v>7.3899999999999993E-2</v>
      </c>
      <c r="Z62" s="17">
        <v>0.21560000000000001</v>
      </c>
      <c r="AA62" s="17">
        <v>5.0799999999999998E-2</v>
      </c>
      <c r="AB62" s="17">
        <v>1.3333999999999999</v>
      </c>
      <c r="AC62" s="17">
        <v>0.121</v>
      </c>
      <c r="AD62" s="18">
        <f t="shared" ref="AD62:AD127" si="6">SUM(H62,J62,L62,N62,P62,R62,T62,V62,X62,Z62,AB62)</f>
        <v>93.582000000000008</v>
      </c>
    </row>
    <row r="63" spans="1:30" x14ac:dyDescent="0.25">
      <c r="A63" s="2" t="s">
        <v>39</v>
      </c>
      <c r="B63" s="16" t="s">
        <v>229</v>
      </c>
      <c r="C63" s="16">
        <v>3</v>
      </c>
      <c r="D63" s="8">
        <v>1100</v>
      </c>
      <c r="E63" s="8">
        <v>195</v>
      </c>
      <c r="F63" s="9">
        <f t="shared" si="2"/>
        <v>7.2833211944646763</v>
      </c>
      <c r="G63" s="9" t="s">
        <v>27</v>
      </c>
      <c r="H63" s="17">
        <v>48.206499999999998</v>
      </c>
      <c r="I63" s="17">
        <v>0.29260000000000003</v>
      </c>
      <c r="J63" s="17">
        <v>0.51770000000000005</v>
      </c>
      <c r="K63" s="17">
        <v>4.2700000000000002E-2</v>
      </c>
      <c r="L63" s="17">
        <v>22.8627</v>
      </c>
      <c r="M63" s="17">
        <v>0.4</v>
      </c>
      <c r="N63" s="17">
        <v>0.1736</v>
      </c>
      <c r="O63" s="17">
        <v>5.67E-2</v>
      </c>
      <c r="P63" s="17">
        <v>5.9203000000000001</v>
      </c>
      <c r="Q63" s="17">
        <v>8.0100000000000005E-2</v>
      </c>
      <c r="R63" s="17">
        <v>5.4999999999999997E-3</v>
      </c>
      <c r="S63" s="17">
        <v>4.0800000000000003E-2</v>
      </c>
      <c r="T63" s="17">
        <v>11.577500000000001</v>
      </c>
      <c r="U63" s="17">
        <v>0.20710000000000001</v>
      </c>
      <c r="V63" s="17">
        <v>0.45619999999999999</v>
      </c>
      <c r="W63" s="17">
        <v>8.5999999999999993E-2</v>
      </c>
      <c r="X63" s="17">
        <v>1.1233</v>
      </c>
      <c r="Y63" s="17">
        <v>7.3800000000000004E-2</v>
      </c>
      <c r="Z63" s="17">
        <v>0.23910000000000001</v>
      </c>
      <c r="AA63" s="17">
        <v>4.7199999999999999E-2</v>
      </c>
      <c r="AB63" s="17">
        <v>1.3153999999999999</v>
      </c>
      <c r="AC63" s="17">
        <v>0.1188</v>
      </c>
      <c r="AD63" s="18">
        <f t="shared" si="6"/>
        <v>92.397799999999975</v>
      </c>
    </row>
    <row r="64" spans="1:30" x14ac:dyDescent="0.25">
      <c r="A64" s="2" t="s">
        <v>39</v>
      </c>
      <c r="B64" s="16" t="s">
        <v>229</v>
      </c>
      <c r="C64" s="16">
        <v>4</v>
      </c>
      <c r="D64" s="8">
        <v>1100</v>
      </c>
      <c r="E64" s="8">
        <v>195</v>
      </c>
      <c r="F64" s="9">
        <f t="shared" si="2"/>
        <v>7.2833211944646763</v>
      </c>
      <c r="G64" s="9" t="s">
        <v>27</v>
      </c>
      <c r="H64" s="17">
        <v>48.144399999999997</v>
      </c>
      <c r="I64" s="17">
        <v>0.29239999999999999</v>
      </c>
      <c r="J64" s="17">
        <v>0.52239999999999998</v>
      </c>
      <c r="K64" s="17">
        <v>4.1799999999999997E-2</v>
      </c>
      <c r="L64" s="17">
        <v>23.0245</v>
      </c>
      <c r="M64" s="17">
        <v>0.40110000000000001</v>
      </c>
      <c r="N64" s="17">
        <v>0.1898</v>
      </c>
      <c r="O64" s="17">
        <v>5.6599999999999998E-2</v>
      </c>
      <c r="P64" s="17">
        <v>5.9820000000000002</v>
      </c>
      <c r="Q64" s="17">
        <v>8.0299999999999996E-2</v>
      </c>
      <c r="R64" s="17">
        <v>-4.3099999999999999E-2</v>
      </c>
      <c r="S64" s="17">
        <v>4.3299999999999998E-2</v>
      </c>
      <c r="T64" s="17">
        <v>11.6555</v>
      </c>
      <c r="U64" s="17">
        <v>0.20760000000000001</v>
      </c>
      <c r="V64" s="17">
        <v>0.39489999999999997</v>
      </c>
      <c r="W64" s="17">
        <v>8.0500000000000002E-2</v>
      </c>
      <c r="X64" s="17">
        <v>1.1737</v>
      </c>
      <c r="Y64" s="17">
        <v>7.5899999999999995E-2</v>
      </c>
      <c r="Z64" s="17">
        <v>0.29499999999999998</v>
      </c>
      <c r="AA64" s="17">
        <v>4.9000000000000002E-2</v>
      </c>
      <c r="AB64" s="17">
        <v>1.4136</v>
      </c>
      <c r="AC64" s="17">
        <v>0.1212</v>
      </c>
      <c r="AD64" s="18">
        <f t="shared" si="6"/>
        <v>92.752700000000019</v>
      </c>
    </row>
    <row r="65" spans="1:30" x14ac:dyDescent="0.25">
      <c r="A65" s="2" t="s">
        <v>39</v>
      </c>
      <c r="B65" s="16" t="s">
        <v>229</v>
      </c>
      <c r="C65" s="16">
        <v>5</v>
      </c>
      <c r="D65" s="8">
        <v>1100</v>
      </c>
      <c r="E65" s="8">
        <v>195</v>
      </c>
      <c r="F65" s="9">
        <f t="shared" si="2"/>
        <v>7.2833211944646763</v>
      </c>
      <c r="G65" s="9" t="s">
        <v>27</v>
      </c>
      <c r="H65" s="17">
        <v>48.2239</v>
      </c>
      <c r="I65" s="17">
        <v>0.29239999999999999</v>
      </c>
      <c r="J65" s="17">
        <v>0.56379999999999997</v>
      </c>
      <c r="K65" s="17">
        <v>4.2900000000000001E-2</v>
      </c>
      <c r="L65" s="17">
        <v>22.971800000000002</v>
      </c>
      <c r="M65" s="17">
        <v>0.4007</v>
      </c>
      <c r="N65" s="17">
        <v>0.23599999999999999</v>
      </c>
      <c r="O65" s="17">
        <v>5.7599999999999998E-2</v>
      </c>
      <c r="P65" s="17">
        <v>5.9269999999999996</v>
      </c>
      <c r="Q65" s="17">
        <v>8.0100000000000005E-2</v>
      </c>
      <c r="R65" s="17">
        <v>9.9000000000000008E-3</v>
      </c>
      <c r="S65" s="17">
        <v>4.2099999999999999E-2</v>
      </c>
      <c r="T65" s="17">
        <v>11.718999999999999</v>
      </c>
      <c r="U65" s="17">
        <v>0.20830000000000001</v>
      </c>
      <c r="V65" s="17">
        <v>0.39789999999999998</v>
      </c>
      <c r="W65" s="17">
        <v>8.14E-2</v>
      </c>
      <c r="X65" s="17">
        <v>1.1681999999999999</v>
      </c>
      <c r="Y65" s="17">
        <v>7.4999999999999997E-2</v>
      </c>
      <c r="Z65" s="17">
        <v>0.2082</v>
      </c>
      <c r="AA65" s="17">
        <v>4.7699999999999999E-2</v>
      </c>
      <c r="AB65" s="17">
        <v>1.4713000000000001</v>
      </c>
      <c r="AC65" s="17">
        <v>0.12189999999999999</v>
      </c>
      <c r="AD65" s="18">
        <f t="shared" si="6"/>
        <v>92.89700000000002</v>
      </c>
    </row>
    <row r="66" spans="1:30" x14ac:dyDescent="0.25">
      <c r="A66" s="12" t="s">
        <v>40</v>
      </c>
      <c r="B66" s="13" t="s">
        <v>226</v>
      </c>
      <c r="C66" s="13">
        <v>1</v>
      </c>
      <c r="D66" s="6">
        <v>1100</v>
      </c>
      <c r="E66" s="6">
        <v>195</v>
      </c>
      <c r="F66" s="7">
        <f t="shared" si="2"/>
        <v>7.2833211944646763</v>
      </c>
      <c r="G66" s="7" t="s">
        <v>27</v>
      </c>
      <c r="H66" s="14">
        <v>60.506900000000002</v>
      </c>
      <c r="I66" s="14">
        <v>0.33279999999999998</v>
      </c>
      <c r="J66" s="14">
        <v>0.63100000000000001</v>
      </c>
      <c r="K66" s="14">
        <v>4.4699999999999997E-2</v>
      </c>
      <c r="L66" s="14">
        <v>15.8712</v>
      </c>
      <c r="M66" s="14">
        <v>0.33</v>
      </c>
      <c r="N66" s="14">
        <v>0.13070000000000001</v>
      </c>
      <c r="O66" s="14">
        <v>4.9700000000000001E-2</v>
      </c>
      <c r="P66" s="14">
        <v>3.3727</v>
      </c>
      <c r="Q66" s="14">
        <v>6.0499999999999998E-2</v>
      </c>
      <c r="R66" s="14">
        <v>6.6E-3</v>
      </c>
      <c r="S66" s="14">
        <v>4.0800000000000003E-2</v>
      </c>
      <c r="T66" s="14">
        <v>4.3217999999999996</v>
      </c>
      <c r="U66" s="14">
        <v>0.12670000000000001</v>
      </c>
      <c r="V66" s="14">
        <v>1.4621999999999999</v>
      </c>
      <c r="W66" s="14">
        <v>0.14219999999999999</v>
      </c>
      <c r="X66" s="14">
        <v>5.4657999999999998</v>
      </c>
      <c r="Y66" s="14">
        <v>0.16289999999999999</v>
      </c>
      <c r="Z66" s="14">
        <v>0.2321</v>
      </c>
      <c r="AA66" s="14">
        <v>4.9099999999999998E-2</v>
      </c>
      <c r="AB66" s="14">
        <v>0.68769999999999998</v>
      </c>
      <c r="AC66" s="14">
        <v>9.5799999999999996E-2</v>
      </c>
      <c r="AD66" s="15">
        <f t="shared" si="6"/>
        <v>92.688700000000011</v>
      </c>
    </row>
    <row r="67" spans="1:30" x14ac:dyDescent="0.25">
      <c r="A67" s="12" t="s">
        <v>40</v>
      </c>
      <c r="B67" s="13" t="s">
        <v>226</v>
      </c>
      <c r="C67" s="13">
        <v>2</v>
      </c>
      <c r="D67" s="6">
        <v>1100</v>
      </c>
      <c r="E67" s="6">
        <v>195</v>
      </c>
      <c r="F67" s="7">
        <f t="shared" si="2"/>
        <v>7.2833211944646763</v>
      </c>
      <c r="G67" s="7" t="s">
        <v>27</v>
      </c>
      <c r="H67" s="14">
        <v>61.191000000000003</v>
      </c>
      <c r="I67" s="14">
        <v>0.33510000000000001</v>
      </c>
      <c r="J67" s="14">
        <v>0.61109999999999998</v>
      </c>
      <c r="K67" s="14">
        <v>4.4299999999999999E-2</v>
      </c>
      <c r="L67" s="14">
        <v>15.7448</v>
      </c>
      <c r="M67" s="14">
        <v>0.3286</v>
      </c>
      <c r="N67" s="14">
        <v>7.7799999999999994E-2</v>
      </c>
      <c r="O67" s="14">
        <v>4.7800000000000002E-2</v>
      </c>
      <c r="P67" s="14">
        <v>3.3776999999999999</v>
      </c>
      <c r="Q67" s="14">
        <v>6.0699999999999997E-2</v>
      </c>
      <c r="R67" s="14">
        <v>-2.2000000000000001E-3</v>
      </c>
      <c r="S67" s="14">
        <v>4.1399999999999999E-2</v>
      </c>
      <c r="T67" s="14">
        <v>4.2770999999999999</v>
      </c>
      <c r="U67" s="14">
        <v>0.12659999999999999</v>
      </c>
      <c r="V67" s="14">
        <v>1.5794999999999999</v>
      </c>
      <c r="W67" s="14">
        <v>0.14710000000000001</v>
      </c>
      <c r="X67" s="14">
        <v>5.3419999999999996</v>
      </c>
      <c r="Y67" s="14">
        <v>0.161</v>
      </c>
      <c r="Z67" s="14">
        <v>0.19320000000000001</v>
      </c>
      <c r="AA67" s="14">
        <v>4.5600000000000002E-2</v>
      </c>
      <c r="AB67" s="14">
        <v>0.69740000000000002</v>
      </c>
      <c r="AC67" s="14">
        <v>9.6000000000000002E-2</v>
      </c>
      <c r="AD67" s="15">
        <f t="shared" si="6"/>
        <v>93.089400000000012</v>
      </c>
    </row>
    <row r="68" spans="1:30" x14ac:dyDescent="0.25">
      <c r="A68" s="12" t="s">
        <v>40</v>
      </c>
      <c r="B68" s="13" t="s">
        <v>226</v>
      </c>
      <c r="C68" s="13">
        <v>3</v>
      </c>
      <c r="D68" s="6">
        <v>1100</v>
      </c>
      <c r="E68" s="6">
        <v>195</v>
      </c>
      <c r="F68" s="7">
        <f t="shared" si="2"/>
        <v>7.2833211944646763</v>
      </c>
      <c r="G68" s="7" t="s">
        <v>27</v>
      </c>
      <c r="H68" s="14">
        <v>61.162100000000002</v>
      </c>
      <c r="I68" s="14">
        <v>0.33489999999999998</v>
      </c>
      <c r="J68" s="14">
        <v>0.62609999999999999</v>
      </c>
      <c r="K68" s="14">
        <v>4.4900000000000002E-2</v>
      </c>
      <c r="L68" s="14">
        <v>15.677</v>
      </c>
      <c r="M68" s="14">
        <v>0.32790000000000002</v>
      </c>
      <c r="N68" s="14">
        <v>0.13689999999999999</v>
      </c>
      <c r="O68" s="14">
        <v>5.0299999999999997E-2</v>
      </c>
      <c r="P68" s="14">
        <v>3.3317999999999999</v>
      </c>
      <c r="Q68" s="14">
        <v>6.0299999999999999E-2</v>
      </c>
      <c r="R68" s="14">
        <v>7.7000000000000002E-3</v>
      </c>
      <c r="S68" s="14">
        <v>4.1799999999999997E-2</v>
      </c>
      <c r="T68" s="14">
        <v>4.3345000000000002</v>
      </c>
      <c r="U68" s="14">
        <v>0.1268</v>
      </c>
      <c r="V68" s="14">
        <v>1.4493</v>
      </c>
      <c r="W68" s="14">
        <v>0.1416</v>
      </c>
      <c r="X68" s="14">
        <v>5.4066999999999998</v>
      </c>
      <c r="Y68" s="14">
        <v>0.1618</v>
      </c>
      <c r="Z68" s="14">
        <v>0.23719999999999999</v>
      </c>
      <c r="AA68" s="14">
        <v>4.8300000000000003E-2</v>
      </c>
      <c r="AB68" s="14">
        <v>0.64019999999999999</v>
      </c>
      <c r="AC68" s="14">
        <v>9.2299999999999993E-2</v>
      </c>
      <c r="AD68" s="15">
        <f t="shared" si="6"/>
        <v>93.009500000000003</v>
      </c>
    </row>
    <row r="69" spans="1:30" x14ac:dyDescent="0.25">
      <c r="A69" s="12" t="s">
        <v>40</v>
      </c>
      <c r="B69" s="13" t="s">
        <v>226</v>
      </c>
      <c r="C69" s="13">
        <v>4</v>
      </c>
      <c r="D69" s="6">
        <v>1100</v>
      </c>
      <c r="E69" s="6">
        <v>195</v>
      </c>
      <c r="F69" s="7">
        <f t="shared" si="2"/>
        <v>7.2833211944646763</v>
      </c>
      <c r="G69" s="7" t="s">
        <v>27</v>
      </c>
      <c r="H69" s="14">
        <v>60.956000000000003</v>
      </c>
      <c r="I69" s="14">
        <v>0.33450000000000002</v>
      </c>
      <c r="J69" s="14">
        <v>0.65410000000000001</v>
      </c>
      <c r="K69" s="14">
        <v>4.4299999999999999E-2</v>
      </c>
      <c r="L69" s="14">
        <v>15.880699999999999</v>
      </c>
      <c r="M69" s="14">
        <v>0.33019999999999999</v>
      </c>
      <c r="N69" s="14">
        <v>7.7200000000000005E-2</v>
      </c>
      <c r="O69" s="14">
        <v>4.9799999999999997E-2</v>
      </c>
      <c r="P69" s="14">
        <v>3.4805999999999999</v>
      </c>
      <c r="Q69" s="14">
        <v>6.13E-2</v>
      </c>
      <c r="R69" s="14">
        <v>-1.1000000000000001E-3</v>
      </c>
      <c r="S69" s="14">
        <v>3.9600000000000003E-2</v>
      </c>
      <c r="T69" s="14">
        <v>4.2462999999999997</v>
      </c>
      <c r="U69" s="14">
        <v>0.12590000000000001</v>
      </c>
      <c r="V69" s="14">
        <v>1.6389</v>
      </c>
      <c r="W69" s="14">
        <v>0.14990000000000001</v>
      </c>
      <c r="X69" s="14">
        <v>5.4728000000000003</v>
      </c>
      <c r="Y69" s="14">
        <v>0.1628</v>
      </c>
      <c r="Z69" s="14">
        <v>0.2601</v>
      </c>
      <c r="AA69" s="14">
        <v>4.8899999999999999E-2</v>
      </c>
      <c r="AB69" s="14">
        <v>0.70089999999999997</v>
      </c>
      <c r="AC69" s="14">
        <v>9.4700000000000006E-2</v>
      </c>
      <c r="AD69" s="15">
        <f t="shared" si="6"/>
        <v>93.36650000000003</v>
      </c>
    </row>
    <row r="70" spans="1:30" x14ac:dyDescent="0.25">
      <c r="A70" s="12" t="s">
        <v>40</v>
      </c>
      <c r="B70" s="13" t="s">
        <v>226</v>
      </c>
      <c r="C70" s="13">
        <v>5</v>
      </c>
      <c r="D70" s="6">
        <v>1100</v>
      </c>
      <c r="E70" s="6">
        <v>195</v>
      </c>
      <c r="F70" s="7">
        <f t="shared" si="2"/>
        <v>7.2833211944646763</v>
      </c>
      <c r="G70" s="7" t="s">
        <v>27</v>
      </c>
      <c r="H70" s="14">
        <v>61.238999999999997</v>
      </c>
      <c r="I70" s="14">
        <v>0.33539999999999998</v>
      </c>
      <c r="J70" s="14">
        <v>0.64890000000000003</v>
      </c>
      <c r="K70" s="14">
        <v>4.4900000000000002E-2</v>
      </c>
      <c r="L70" s="14">
        <v>15.7264</v>
      </c>
      <c r="M70" s="14">
        <v>0.32869999999999999</v>
      </c>
      <c r="N70" s="14">
        <v>0.1343</v>
      </c>
      <c r="O70" s="14">
        <v>5.1900000000000002E-2</v>
      </c>
      <c r="P70" s="14">
        <v>3.3319999999999999</v>
      </c>
      <c r="Q70" s="14">
        <v>6.0299999999999999E-2</v>
      </c>
      <c r="R70" s="14">
        <v>-0.01</v>
      </c>
      <c r="S70" s="14">
        <v>4.2299999999999997E-2</v>
      </c>
      <c r="T70" s="14">
        <v>4.2411000000000003</v>
      </c>
      <c r="U70" s="14">
        <v>0.12559999999999999</v>
      </c>
      <c r="V70" s="14">
        <v>1.5801000000000001</v>
      </c>
      <c r="W70" s="14">
        <v>0.1474</v>
      </c>
      <c r="X70" s="14">
        <v>5.4541000000000004</v>
      </c>
      <c r="Y70" s="14">
        <v>0.16259999999999999</v>
      </c>
      <c r="Z70" s="14">
        <v>0.23419999999999999</v>
      </c>
      <c r="AA70" s="14">
        <v>5.0599999999999999E-2</v>
      </c>
      <c r="AB70" s="14">
        <v>0.71940000000000004</v>
      </c>
      <c r="AC70" s="14">
        <v>9.4399999999999998E-2</v>
      </c>
      <c r="AD70" s="15">
        <f t="shared" si="6"/>
        <v>93.299499999999981</v>
      </c>
    </row>
    <row r="71" spans="1:30" x14ac:dyDescent="0.25">
      <c r="A71" s="2" t="s">
        <v>41</v>
      </c>
      <c r="B71" s="16">
        <v>15386</v>
      </c>
      <c r="C71" s="16">
        <v>1</v>
      </c>
      <c r="D71" s="8">
        <v>1130</v>
      </c>
      <c r="E71" s="8">
        <v>197</v>
      </c>
      <c r="F71" s="9">
        <f t="shared" si="2"/>
        <v>7.1275837491090517</v>
      </c>
      <c r="G71" s="9" t="s">
        <v>27</v>
      </c>
      <c r="H71" s="17">
        <v>39.444200000000002</v>
      </c>
      <c r="I71" s="17">
        <v>0.3024</v>
      </c>
      <c r="J71" s="17">
        <v>1.8672</v>
      </c>
      <c r="K71" s="17">
        <v>6.6699999999999995E-2</v>
      </c>
      <c r="L71" s="17">
        <v>13.9452</v>
      </c>
      <c r="M71" s="17">
        <v>0.3301</v>
      </c>
      <c r="N71" s="17">
        <v>14.177300000000001</v>
      </c>
      <c r="O71" s="17">
        <v>0.31480000000000002</v>
      </c>
      <c r="P71" s="17">
        <v>7.8445999999999998</v>
      </c>
      <c r="Q71" s="17">
        <v>9.7199999999999995E-2</v>
      </c>
      <c r="R71" s="17">
        <v>0.19789999999999999</v>
      </c>
      <c r="S71" s="17">
        <v>5.5800000000000002E-2</v>
      </c>
      <c r="T71" s="17">
        <v>9.0388000000000002</v>
      </c>
      <c r="U71" s="17">
        <v>0.18</v>
      </c>
      <c r="V71" s="17">
        <v>1.3160000000000001</v>
      </c>
      <c r="W71" s="17">
        <v>0.14660000000000001</v>
      </c>
      <c r="X71" s="17">
        <v>0.63390000000000002</v>
      </c>
      <c r="Y71" s="17">
        <v>5.7599999999999998E-2</v>
      </c>
      <c r="Z71" s="17">
        <v>0.52200000000000002</v>
      </c>
      <c r="AA71" s="17">
        <v>6.4199999999999993E-2</v>
      </c>
      <c r="AB71" s="17">
        <v>2.8365999999999998</v>
      </c>
      <c r="AC71" s="17">
        <v>0.1648</v>
      </c>
      <c r="AD71" s="18">
        <f t="shared" si="6"/>
        <v>91.823700000000002</v>
      </c>
    </row>
    <row r="72" spans="1:30" x14ac:dyDescent="0.25">
      <c r="A72" s="2" t="s">
        <v>41</v>
      </c>
      <c r="B72" s="16">
        <v>15386</v>
      </c>
      <c r="C72" s="16">
        <v>2</v>
      </c>
      <c r="D72" s="8">
        <v>1130</v>
      </c>
      <c r="E72" s="8">
        <v>197</v>
      </c>
      <c r="F72" s="9">
        <f t="shared" si="2"/>
        <v>7.1275837491090517</v>
      </c>
      <c r="G72" s="9" t="s">
        <v>27</v>
      </c>
      <c r="H72" s="17">
        <v>39.761000000000003</v>
      </c>
      <c r="I72" s="17">
        <v>0.30399999999999999</v>
      </c>
      <c r="J72" s="17">
        <v>1.9362999999999999</v>
      </c>
      <c r="K72" s="17">
        <v>6.8000000000000005E-2</v>
      </c>
      <c r="L72" s="17">
        <v>13.847</v>
      </c>
      <c r="M72" s="17">
        <v>0.3286</v>
      </c>
      <c r="N72" s="17">
        <v>14.1365</v>
      </c>
      <c r="O72" s="17">
        <v>0.31340000000000001</v>
      </c>
      <c r="P72" s="17">
        <v>7.8025000000000002</v>
      </c>
      <c r="Q72" s="17">
        <v>9.7000000000000003E-2</v>
      </c>
      <c r="R72" s="17">
        <v>0.22339999999999999</v>
      </c>
      <c r="S72" s="17">
        <v>5.74E-2</v>
      </c>
      <c r="T72" s="17">
        <v>9.0748999999999995</v>
      </c>
      <c r="U72" s="17">
        <v>0.18060000000000001</v>
      </c>
      <c r="V72" s="17">
        <v>1.1549</v>
      </c>
      <c r="W72" s="17">
        <v>0.13969999999999999</v>
      </c>
      <c r="X72" s="17">
        <v>0.68989999999999996</v>
      </c>
      <c r="Y72" s="17">
        <v>5.9700000000000003E-2</v>
      </c>
      <c r="Z72" s="17">
        <v>0.48920000000000002</v>
      </c>
      <c r="AA72" s="17">
        <v>6.6299999999999998E-2</v>
      </c>
      <c r="AB72" s="17">
        <v>2.8687999999999998</v>
      </c>
      <c r="AC72" s="17">
        <v>0.16619999999999999</v>
      </c>
      <c r="AD72" s="18">
        <f t="shared" si="6"/>
        <v>91.98439999999998</v>
      </c>
    </row>
    <row r="73" spans="1:30" x14ac:dyDescent="0.25">
      <c r="A73" s="2" t="s">
        <v>41</v>
      </c>
      <c r="B73" s="16">
        <v>15386</v>
      </c>
      <c r="C73" s="16">
        <v>3</v>
      </c>
      <c r="D73" s="8">
        <v>1130</v>
      </c>
      <c r="E73" s="8">
        <v>197</v>
      </c>
      <c r="F73" s="9">
        <f t="shared" si="2"/>
        <v>7.1275837491090517</v>
      </c>
      <c r="G73" s="9" t="s">
        <v>27</v>
      </c>
      <c r="H73" s="17">
        <v>39.994399999999999</v>
      </c>
      <c r="I73" s="17">
        <v>0.3049</v>
      </c>
      <c r="J73" s="17">
        <v>1.9261999999999999</v>
      </c>
      <c r="K73" s="17">
        <v>6.7799999999999999E-2</v>
      </c>
      <c r="L73" s="17">
        <v>13.425000000000001</v>
      </c>
      <c r="M73" s="17">
        <v>0.32390000000000002</v>
      </c>
      <c r="N73" s="17">
        <v>14.065899999999999</v>
      </c>
      <c r="O73" s="17">
        <v>0.31340000000000001</v>
      </c>
      <c r="P73" s="17">
        <v>8.0198</v>
      </c>
      <c r="Q73" s="17">
        <v>9.7699999999999995E-2</v>
      </c>
      <c r="R73" s="17">
        <v>0.2064</v>
      </c>
      <c r="S73" s="17">
        <v>5.4699999999999999E-2</v>
      </c>
      <c r="T73" s="17">
        <v>9.0577000000000005</v>
      </c>
      <c r="U73" s="17">
        <v>0.1802</v>
      </c>
      <c r="V73" s="17">
        <v>1.2403999999999999</v>
      </c>
      <c r="W73" s="17">
        <v>0.14249999999999999</v>
      </c>
      <c r="X73" s="17">
        <v>0.64019999999999999</v>
      </c>
      <c r="Y73" s="17">
        <v>5.7799999999999997E-2</v>
      </c>
      <c r="Z73" s="17">
        <v>0.59809999999999997</v>
      </c>
      <c r="AA73" s="17">
        <v>6.8500000000000005E-2</v>
      </c>
      <c r="AB73" s="17">
        <v>2.7905000000000002</v>
      </c>
      <c r="AC73" s="17">
        <v>0.1663</v>
      </c>
      <c r="AD73" s="18">
        <f t="shared" si="6"/>
        <v>91.96459999999999</v>
      </c>
    </row>
    <row r="74" spans="1:30" x14ac:dyDescent="0.25">
      <c r="A74" s="2" t="s">
        <v>41</v>
      </c>
      <c r="B74" s="16">
        <v>15386</v>
      </c>
      <c r="C74" s="16">
        <v>4</v>
      </c>
      <c r="D74" s="8">
        <v>1130</v>
      </c>
      <c r="E74" s="8">
        <v>197</v>
      </c>
      <c r="F74" s="9">
        <f t="shared" si="2"/>
        <v>7.1275837491090517</v>
      </c>
      <c r="G74" s="9" t="s">
        <v>27</v>
      </c>
      <c r="H74" s="17">
        <v>40.019100000000002</v>
      </c>
      <c r="I74" s="17">
        <v>0.30549999999999999</v>
      </c>
      <c r="J74" s="17">
        <v>1.861</v>
      </c>
      <c r="K74" s="17">
        <v>6.7100000000000007E-2</v>
      </c>
      <c r="L74" s="17">
        <v>13.968999999999999</v>
      </c>
      <c r="M74" s="17">
        <v>0.33050000000000002</v>
      </c>
      <c r="N74" s="17">
        <v>14.2858</v>
      </c>
      <c r="O74" s="17">
        <v>0.31590000000000001</v>
      </c>
      <c r="P74" s="17">
        <v>7.9405999999999999</v>
      </c>
      <c r="Q74" s="17">
        <v>9.7500000000000003E-2</v>
      </c>
      <c r="R74" s="17">
        <v>0.25800000000000001</v>
      </c>
      <c r="S74" s="17">
        <v>6.0100000000000001E-2</v>
      </c>
      <c r="T74" s="17">
        <v>9.0238999999999994</v>
      </c>
      <c r="U74" s="17">
        <v>0.18029999999999999</v>
      </c>
      <c r="V74" s="17">
        <v>1.2656000000000001</v>
      </c>
      <c r="W74" s="17">
        <v>0.14510000000000001</v>
      </c>
      <c r="X74" s="17">
        <v>0.68730000000000002</v>
      </c>
      <c r="Y74" s="17">
        <v>5.8599999999999999E-2</v>
      </c>
      <c r="Z74" s="17">
        <v>0.50309999999999999</v>
      </c>
      <c r="AA74" s="17">
        <v>6.6500000000000004E-2</v>
      </c>
      <c r="AB74" s="17">
        <v>2.9699</v>
      </c>
      <c r="AC74" s="17">
        <v>0.16950000000000001</v>
      </c>
      <c r="AD74" s="18">
        <f t="shared" si="6"/>
        <v>92.783299999999997</v>
      </c>
    </row>
    <row r="75" spans="1:30" x14ac:dyDescent="0.25">
      <c r="A75" s="2" t="s">
        <v>41</v>
      </c>
      <c r="B75" s="16">
        <v>15386</v>
      </c>
      <c r="C75" s="16">
        <v>5</v>
      </c>
      <c r="D75" s="8">
        <v>1130</v>
      </c>
      <c r="E75" s="8">
        <v>197</v>
      </c>
      <c r="F75" s="9">
        <f t="shared" si="2"/>
        <v>7.1275837491090517</v>
      </c>
      <c r="G75" s="9" t="s">
        <v>27</v>
      </c>
      <c r="H75" s="17">
        <v>39.9694</v>
      </c>
      <c r="I75" s="17">
        <v>0.30480000000000002</v>
      </c>
      <c r="J75" s="17">
        <v>1.9108000000000001</v>
      </c>
      <c r="K75" s="17">
        <v>6.7799999999999999E-2</v>
      </c>
      <c r="L75" s="17">
        <v>13.346</v>
      </c>
      <c r="M75" s="17">
        <v>0.32329999999999998</v>
      </c>
      <c r="N75" s="17">
        <v>14.362399999999999</v>
      </c>
      <c r="O75" s="17">
        <v>0.31790000000000002</v>
      </c>
      <c r="P75" s="17">
        <v>7.9123999999999999</v>
      </c>
      <c r="Q75" s="17">
        <v>9.7199999999999995E-2</v>
      </c>
      <c r="R75" s="17">
        <v>0.29020000000000001</v>
      </c>
      <c r="S75" s="17">
        <v>5.9200000000000003E-2</v>
      </c>
      <c r="T75" s="17">
        <v>8.9674999999999994</v>
      </c>
      <c r="U75" s="17">
        <v>0.1794</v>
      </c>
      <c r="V75" s="17">
        <v>1.1378999999999999</v>
      </c>
      <c r="W75" s="17">
        <v>0.1386</v>
      </c>
      <c r="X75" s="17">
        <v>0.68640000000000001</v>
      </c>
      <c r="Y75" s="17">
        <v>5.8700000000000002E-2</v>
      </c>
      <c r="Z75" s="17">
        <v>0.59399999999999997</v>
      </c>
      <c r="AA75" s="17">
        <v>6.8699999999999997E-2</v>
      </c>
      <c r="AB75" s="17">
        <v>2.8452999999999999</v>
      </c>
      <c r="AC75" s="17">
        <v>0.1673</v>
      </c>
      <c r="AD75" s="18">
        <f t="shared" si="6"/>
        <v>92.022300000000001</v>
      </c>
    </row>
    <row r="76" spans="1:30" x14ac:dyDescent="0.25">
      <c r="A76" s="12" t="s">
        <v>42</v>
      </c>
      <c r="B76" s="13" t="s">
        <v>227</v>
      </c>
      <c r="C76" s="13">
        <v>1</v>
      </c>
      <c r="D76" s="6">
        <v>1130</v>
      </c>
      <c r="E76" s="6">
        <v>197</v>
      </c>
      <c r="F76" s="7">
        <f t="shared" ref="F76:F105" si="7">10^4/(D76+273)</f>
        <v>7.1275837491090517</v>
      </c>
      <c r="G76" s="7" t="s">
        <v>27</v>
      </c>
      <c r="H76" s="14">
        <v>60.222799999999999</v>
      </c>
      <c r="I76" s="14">
        <v>0.40720000000000001</v>
      </c>
      <c r="J76" s="14">
        <v>0.63370000000000004</v>
      </c>
      <c r="K76" s="14">
        <v>4.3799999999999999E-2</v>
      </c>
      <c r="L76" s="14">
        <v>10.724500000000001</v>
      </c>
      <c r="M76" s="14">
        <v>0.28120000000000001</v>
      </c>
      <c r="N76" s="14">
        <v>15.66</v>
      </c>
      <c r="O76" s="14">
        <v>0.33389999999999997</v>
      </c>
      <c r="P76" s="14">
        <v>0.62870000000000004</v>
      </c>
      <c r="Q76" s="14">
        <v>3.0700000000000002E-2</v>
      </c>
      <c r="R76" s="14">
        <v>0.1938</v>
      </c>
      <c r="S76" s="14">
        <v>5.5300000000000002E-2</v>
      </c>
      <c r="T76" s="14">
        <v>1.1702999999999999</v>
      </c>
      <c r="U76" s="14">
        <v>6.8400000000000002E-2</v>
      </c>
      <c r="V76" s="14">
        <v>0.50590000000000002</v>
      </c>
      <c r="W76" s="14">
        <v>9.69E-2</v>
      </c>
      <c r="X76" s="14">
        <v>4.4776999999999996</v>
      </c>
      <c r="Y76" s="14">
        <v>0.1459</v>
      </c>
      <c r="Z76" s="14">
        <v>-1.61E-2</v>
      </c>
      <c r="AA76" s="14">
        <v>3.27E-2</v>
      </c>
      <c r="AB76" s="14">
        <v>1.0147999999999999</v>
      </c>
      <c r="AC76" s="14">
        <v>0.1051</v>
      </c>
      <c r="AD76" s="15">
        <f t="shared" si="6"/>
        <v>95.216099999999983</v>
      </c>
    </row>
    <row r="77" spans="1:30" x14ac:dyDescent="0.25">
      <c r="A77" s="12" t="s">
        <v>42</v>
      </c>
      <c r="B77" s="13" t="s">
        <v>227</v>
      </c>
      <c r="C77" s="13">
        <v>2</v>
      </c>
      <c r="D77" s="6">
        <v>1130</v>
      </c>
      <c r="E77" s="6">
        <v>197</v>
      </c>
      <c r="F77" s="7">
        <f t="shared" si="7"/>
        <v>7.1275837491090517</v>
      </c>
      <c r="G77" s="7" t="s">
        <v>27</v>
      </c>
      <c r="H77" s="14">
        <v>60.0672</v>
      </c>
      <c r="I77" s="14">
        <v>0.40649999999999997</v>
      </c>
      <c r="J77" s="14">
        <v>0.63</v>
      </c>
      <c r="K77" s="14">
        <v>4.4600000000000001E-2</v>
      </c>
      <c r="L77" s="14">
        <v>10.8378</v>
      </c>
      <c r="M77" s="14">
        <v>0.28260000000000002</v>
      </c>
      <c r="N77" s="14">
        <v>15.680300000000001</v>
      </c>
      <c r="O77" s="14">
        <v>0.33400000000000002</v>
      </c>
      <c r="P77" s="14">
        <v>0.59919999999999995</v>
      </c>
      <c r="Q77" s="14">
        <v>3.0300000000000001E-2</v>
      </c>
      <c r="R77" s="14">
        <v>0.1981</v>
      </c>
      <c r="S77" s="14">
        <v>5.4699999999999999E-2</v>
      </c>
      <c r="T77" s="14">
        <v>1.1140000000000001</v>
      </c>
      <c r="U77" s="14">
        <v>6.7299999999999999E-2</v>
      </c>
      <c r="V77" s="14">
        <v>0.40770000000000001</v>
      </c>
      <c r="W77" s="14">
        <v>8.8400000000000006E-2</v>
      </c>
      <c r="X77" s="14">
        <v>4.3338999999999999</v>
      </c>
      <c r="Y77" s="14">
        <v>0.14380000000000001</v>
      </c>
      <c r="Z77" s="14">
        <v>9.1000000000000004E-3</v>
      </c>
      <c r="AA77" s="14">
        <v>3.2500000000000001E-2</v>
      </c>
      <c r="AB77" s="14">
        <v>1.0418000000000001</v>
      </c>
      <c r="AC77" s="14">
        <v>0.1084</v>
      </c>
      <c r="AD77" s="15">
        <f t="shared" si="6"/>
        <v>94.9191</v>
      </c>
    </row>
    <row r="78" spans="1:30" x14ac:dyDescent="0.25">
      <c r="A78" s="12" t="s">
        <v>42</v>
      </c>
      <c r="B78" s="13" t="s">
        <v>227</v>
      </c>
      <c r="C78" s="13">
        <v>3</v>
      </c>
      <c r="D78" s="6">
        <v>1130</v>
      </c>
      <c r="E78" s="6">
        <v>197</v>
      </c>
      <c r="F78" s="7">
        <f t="shared" si="7"/>
        <v>7.1275837491090517</v>
      </c>
      <c r="G78" s="7" t="s">
        <v>27</v>
      </c>
      <c r="H78" s="14">
        <v>59.901400000000002</v>
      </c>
      <c r="I78" s="14">
        <v>0.40560000000000002</v>
      </c>
      <c r="J78" s="14">
        <v>0.61429999999999996</v>
      </c>
      <c r="K78" s="14">
        <v>4.48E-2</v>
      </c>
      <c r="L78" s="14">
        <v>10.302899999999999</v>
      </c>
      <c r="M78" s="14">
        <v>0.27600000000000002</v>
      </c>
      <c r="N78" s="14">
        <v>15.475</v>
      </c>
      <c r="O78" s="14">
        <v>0.33160000000000001</v>
      </c>
      <c r="P78" s="14">
        <v>0.62770000000000004</v>
      </c>
      <c r="Q78" s="14">
        <v>3.0800000000000001E-2</v>
      </c>
      <c r="R78" s="14">
        <v>0.16689999999999999</v>
      </c>
      <c r="S78" s="14">
        <v>5.45E-2</v>
      </c>
      <c r="T78" s="14">
        <v>1.1103000000000001</v>
      </c>
      <c r="U78" s="14">
        <v>6.6799999999999998E-2</v>
      </c>
      <c r="V78" s="14">
        <v>0.46239999999999998</v>
      </c>
      <c r="W78" s="14">
        <v>9.2299999999999993E-2</v>
      </c>
      <c r="X78" s="14">
        <v>4.4489000000000001</v>
      </c>
      <c r="Y78" s="14">
        <v>0.14549999999999999</v>
      </c>
      <c r="Z78" s="14">
        <v>5.5199999999999999E-2</v>
      </c>
      <c r="AA78" s="14">
        <v>3.7900000000000003E-2</v>
      </c>
      <c r="AB78" s="14">
        <v>0.999</v>
      </c>
      <c r="AC78" s="14">
        <v>0.10630000000000001</v>
      </c>
      <c r="AD78" s="15">
        <f t="shared" si="6"/>
        <v>94.163999999999987</v>
      </c>
    </row>
    <row r="79" spans="1:30" x14ac:dyDescent="0.25">
      <c r="A79" s="12" t="s">
        <v>42</v>
      </c>
      <c r="B79" s="13" t="s">
        <v>227</v>
      </c>
      <c r="C79" s="13">
        <v>4</v>
      </c>
      <c r="D79" s="6">
        <v>1130</v>
      </c>
      <c r="E79" s="6">
        <v>197</v>
      </c>
      <c r="F79" s="7">
        <f t="shared" si="7"/>
        <v>7.1275837491090517</v>
      </c>
      <c r="G79" s="7" t="s">
        <v>27</v>
      </c>
      <c r="H79" s="14">
        <v>60.054499999999997</v>
      </c>
      <c r="I79" s="14">
        <v>0.40629999999999999</v>
      </c>
      <c r="J79" s="14">
        <v>0.57310000000000005</v>
      </c>
      <c r="K79" s="14">
        <v>4.3299999999999998E-2</v>
      </c>
      <c r="L79" s="14">
        <v>10.5976</v>
      </c>
      <c r="M79" s="14">
        <v>0.27960000000000002</v>
      </c>
      <c r="N79" s="14">
        <v>15.660299999999999</v>
      </c>
      <c r="O79" s="14">
        <v>0.33379999999999999</v>
      </c>
      <c r="P79" s="14">
        <v>0.60340000000000005</v>
      </c>
      <c r="Q79" s="14">
        <v>3.0800000000000001E-2</v>
      </c>
      <c r="R79" s="14">
        <v>0.2077</v>
      </c>
      <c r="S79" s="14">
        <v>5.3999999999999999E-2</v>
      </c>
      <c r="T79" s="14">
        <v>1.1087</v>
      </c>
      <c r="U79" s="14">
        <v>6.6600000000000006E-2</v>
      </c>
      <c r="V79" s="14">
        <v>0.3987</v>
      </c>
      <c r="W79" s="14">
        <v>8.8099999999999998E-2</v>
      </c>
      <c r="X79" s="14">
        <v>4.5035999999999996</v>
      </c>
      <c r="Y79" s="14">
        <v>0.14599999999999999</v>
      </c>
      <c r="Z79" s="14">
        <v>5.3100000000000001E-2</v>
      </c>
      <c r="AA79" s="14">
        <v>3.2500000000000001E-2</v>
      </c>
      <c r="AB79" s="14">
        <v>1.0005999999999999</v>
      </c>
      <c r="AC79" s="14">
        <v>0.1069</v>
      </c>
      <c r="AD79" s="15">
        <f t="shared" si="6"/>
        <v>94.76130000000002</v>
      </c>
    </row>
    <row r="80" spans="1:30" x14ac:dyDescent="0.25">
      <c r="A80" s="12" t="s">
        <v>42</v>
      </c>
      <c r="B80" s="13" t="s">
        <v>227</v>
      </c>
      <c r="C80" s="13">
        <v>5</v>
      </c>
      <c r="D80" s="6">
        <v>1130</v>
      </c>
      <c r="E80" s="6">
        <v>197</v>
      </c>
      <c r="F80" s="7">
        <f t="shared" si="7"/>
        <v>7.1275837491090517</v>
      </c>
      <c r="G80" s="7" t="s">
        <v>27</v>
      </c>
      <c r="H80" s="14">
        <v>60.202399999999997</v>
      </c>
      <c r="I80" s="14">
        <v>0.40710000000000002</v>
      </c>
      <c r="J80" s="14">
        <v>0.61609999999999998</v>
      </c>
      <c r="K80" s="14">
        <v>4.41E-2</v>
      </c>
      <c r="L80" s="14">
        <v>10.8476</v>
      </c>
      <c r="M80" s="14">
        <v>0.2828</v>
      </c>
      <c r="N80" s="14">
        <v>15.482699999999999</v>
      </c>
      <c r="O80" s="14">
        <v>0.33169999999999999</v>
      </c>
      <c r="P80" s="14">
        <v>0.62539999999999996</v>
      </c>
      <c r="Q80" s="14">
        <v>3.0300000000000001E-2</v>
      </c>
      <c r="R80" s="14">
        <v>0.1905</v>
      </c>
      <c r="S80" s="14">
        <v>5.4899999999999997E-2</v>
      </c>
      <c r="T80" s="14">
        <v>1.1329</v>
      </c>
      <c r="U80" s="14">
        <v>6.7400000000000002E-2</v>
      </c>
      <c r="V80" s="14">
        <v>0.39979999999999999</v>
      </c>
      <c r="W80" s="14">
        <v>8.8300000000000003E-2</v>
      </c>
      <c r="X80" s="14">
        <v>4.4725000000000001</v>
      </c>
      <c r="Y80" s="14">
        <v>0.14599999999999999</v>
      </c>
      <c r="Z80" s="14">
        <v>1.1299999999999999E-2</v>
      </c>
      <c r="AA80" s="14">
        <v>3.5099999999999999E-2</v>
      </c>
      <c r="AB80" s="14">
        <v>0.97989999999999999</v>
      </c>
      <c r="AC80" s="14">
        <v>0.1085</v>
      </c>
      <c r="AD80" s="15">
        <f t="shared" si="6"/>
        <v>94.961100000000002</v>
      </c>
    </row>
    <row r="81" spans="1:30" x14ac:dyDescent="0.25">
      <c r="A81" s="2" t="s">
        <v>43</v>
      </c>
      <c r="B81" s="16" t="s">
        <v>228</v>
      </c>
      <c r="C81" s="16">
        <v>1</v>
      </c>
      <c r="D81" s="8">
        <v>1130</v>
      </c>
      <c r="E81" s="8">
        <v>197</v>
      </c>
      <c r="F81" s="9">
        <f t="shared" si="7"/>
        <v>7.1275837491090517</v>
      </c>
      <c r="G81" s="9" t="s">
        <v>27</v>
      </c>
      <c r="H81" s="17">
        <v>44.7746</v>
      </c>
      <c r="I81" s="17">
        <v>0.32869999999999999</v>
      </c>
      <c r="J81" s="17">
        <v>2.0733999999999999</v>
      </c>
      <c r="K81" s="17">
        <v>7.0000000000000007E-2</v>
      </c>
      <c r="L81" s="17">
        <v>11.497199999999999</v>
      </c>
      <c r="M81" s="17">
        <v>0.2984</v>
      </c>
      <c r="N81" s="17">
        <v>20.3247</v>
      </c>
      <c r="O81" s="17">
        <v>0.38719999999999999</v>
      </c>
      <c r="P81" s="17">
        <v>2.6766999999999999</v>
      </c>
      <c r="Q81" s="17">
        <v>5.91E-2</v>
      </c>
      <c r="R81" s="17">
        <v>0.32600000000000001</v>
      </c>
      <c r="S81" s="17">
        <v>6.2399999999999997E-2</v>
      </c>
      <c r="T81" s="17">
        <v>8.0129000000000001</v>
      </c>
      <c r="U81" s="17">
        <v>0.16850000000000001</v>
      </c>
      <c r="V81" s="17">
        <v>1.724</v>
      </c>
      <c r="W81" s="17">
        <v>0.17230000000000001</v>
      </c>
      <c r="X81" s="17">
        <v>1.3832</v>
      </c>
      <c r="Y81" s="17">
        <v>8.0600000000000005E-2</v>
      </c>
      <c r="Z81" s="17">
        <v>0.97260000000000002</v>
      </c>
      <c r="AA81" s="17">
        <v>8.8499999999999995E-2</v>
      </c>
      <c r="AB81" s="17">
        <v>2.6602000000000001</v>
      </c>
      <c r="AC81" s="17">
        <v>0.16220000000000001</v>
      </c>
      <c r="AD81" s="18">
        <f t="shared" si="6"/>
        <v>96.4255</v>
      </c>
    </row>
    <row r="82" spans="1:30" x14ac:dyDescent="0.25">
      <c r="A82" s="2" t="s">
        <v>43</v>
      </c>
      <c r="B82" s="16" t="s">
        <v>228</v>
      </c>
      <c r="C82" s="16">
        <v>2</v>
      </c>
      <c r="D82" s="8">
        <v>1130</v>
      </c>
      <c r="E82" s="8">
        <v>197</v>
      </c>
      <c r="F82" s="9">
        <f t="shared" si="7"/>
        <v>7.1275837491090517</v>
      </c>
      <c r="G82" s="9" t="s">
        <v>27</v>
      </c>
      <c r="H82" s="17">
        <v>44.49</v>
      </c>
      <c r="I82" s="17">
        <v>0.32740000000000002</v>
      </c>
      <c r="J82" s="17">
        <v>2.0882000000000001</v>
      </c>
      <c r="K82" s="17">
        <v>6.9699999999999998E-2</v>
      </c>
      <c r="L82" s="17">
        <v>11.4984</v>
      </c>
      <c r="M82" s="17">
        <v>0.29849999999999999</v>
      </c>
      <c r="N82" s="17">
        <v>20.5212</v>
      </c>
      <c r="O82" s="17">
        <v>0.38969999999999999</v>
      </c>
      <c r="P82" s="17">
        <v>2.6183999999999998</v>
      </c>
      <c r="Q82" s="17">
        <v>5.8299999999999998E-2</v>
      </c>
      <c r="R82" s="17">
        <v>0.34289999999999998</v>
      </c>
      <c r="S82" s="17">
        <v>6.4299999999999996E-2</v>
      </c>
      <c r="T82" s="17">
        <v>7.9568000000000003</v>
      </c>
      <c r="U82" s="17">
        <v>0.16830000000000001</v>
      </c>
      <c r="V82" s="17">
        <v>1.7501</v>
      </c>
      <c r="W82" s="17">
        <v>0.17330000000000001</v>
      </c>
      <c r="X82" s="17">
        <v>1.3452</v>
      </c>
      <c r="Y82" s="17">
        <v>7.9899999999999999E-2</v>
      </c>
      <c r="Z82" s="17">
        <v>1.0521</v>
      </c>
      <c r="AA82" s="17">
        <v>8.7499999999999994E-2</v>
      </c>
      <c r="AB82" s="17">
        <v>2.6722999999999999</v>
      </c>
      <c r="AC82" s="17">
        <v>0.16420000000000001</v>
      </c>
      <c r="AD82" s="18">
        <f t="shared" si="6"/>
        <v>96.335599999999999</v>
      </c>
    </row>
    <row r="83" spans="1:30" x14ac:dyDescent="0.25">
      <c r="A83" s="2" t="s">
        <v>43</v>
      </c>
      <c r="B83" s="16" t="s">
        <v>228</v>
      </c>
      <c r="C83" s="16">
        <v>3</v>
      </c>
      <c r="D83" s="8">
        <v>1130</v>
      </c>
      <c r="E83" s="8">
        <v>197</v>
      </c>
      <c r="F83" s="9">
        <f t="shared" si="7"/>
        <v>7.1275837491090517</v>
      </c>
      <c r="G83" s="9" t="s">
        <v>27</v>
      </c>
      <c r="H83" s="17">
        <v>44.308100000000003</v>
      </c>
      <c r="I83" s="17">
        <v>0.32629999999999998</v>
      </c>
      <c r="J83" s="17">
        <v>2.145</v>
      </c>
      <c r="K83" s="17">
        <v>7.0400000000000004E-2</v>
      </c>
      <c r="L83" s="17">
        <v>11.642899999999999</v>
      </c>
      <c r="M83" s="17">
        <v>0.30020000000000002</v>
      </c>
      <c r="N83" s="17">
        <v>20.1067</v>
      </c>
      <c r="O83" s="17">
        <v>0.38519999999999999</v>
      </c>
      <c r="P83" s="17">
        <v>2.6839</v>
      </c>
      <c r="Q83" s="17">
        <v>5.8500000000000003E-2</v>
      </c>
      <c r="R83" s="17">
        <v>0.29920000000000002</v>
      </c>
      <c r="S83" s="17">
        <v>6.3799999999999996E-2</v>
      </c>
      <c r="T83" s="17">
        <v>8.0917999999999992</v>
      </c>
      <c r="U83" s="17">
        <v>0.16980000000000001</v>
      </c>
      <c r="V83" s="17">
        <v>1.871</v>
      </c>
      <c r="W83" s="17">
        <v>0.17730000000000001</v>
      </c>
      <c r="X83" s="17">
        <v>1.3461000000000001</v>
      </c>
      <c r="Y83" s="17">
        <v>8.0199999999999994E-2</v>
      </c>
      <c r="Z83" s="17">
        <v>1.2123999999999999</v>
      </c>
      <c r="AA83" s="17">
        <v>9.2200000000000004E-2</v>
      </c>
      <c r="AB83" s="17">
        <v>2.6267999999999998</v>
      </c>
      <c r="AC83" s="17">
        <v>0.1623</v>
      </c>
      <c r="AD83" s="18">
        <f t="shared" si="6"/>
        <v>96.333900000000014</v>
      </c>
    </row>
    <row r="84" spans="1:30" x14ac:dyDescent="0.25">
      <c r="A84" s="2" t="s">
        <v>43</v>
      </c>
      <c r="B84" s="16" t="s">
        <v>228</v>
      </c>
      <c r="C84" s="16">
        <v>4</v>
      </c>
      <c r="D84" s="8">
        <v>1130</v>
      </c>
      <c r="E84" s="8">
        <v>197</v>
      </c>
      <c r="F84" s="9">
        <f t="shared" si="7"/>
        <v>7.1275837491090517</v>
      </c>
      <c r="G84" s="9" t="s">
        <v>27</v>
      </c>
      <c r="H84" s="17">
        <v>44.863399999999999</v>
      </c>
      <c r="I84" s="17">
        <v>0.32919999999999999</v>
      </c>
      <c r="J84" s="17">
        <v>2.0966999999999998</v>
      </c>
      <c r="K84" s="17">
        <v>7.0199999999999999E-2</v>
      </c>
      <c r="L84" s="17">
        <v>11.5443</v>
      </c>
      <c r="M84" s="17">
        <v>0.29859999999999998</v>
      </c>
      <c r="N84" s="17">
        <v>20.1082</v>
      </c>
      <c r="O84" s="17">
        <v>0.38500000000000001</v>
      </c>
      <c r="P84" s="17">
        <v>2.6263000000000001</v>
      </c>
      <c r="Q84" s="17">
        <v>5.8099999999999999E-2</v>
      </c>
      <c r="R84" s="17">
        <v>0.33960000000000001</v>
      </c>
      <c r="S84" s="17">
        <v>6.1600000000000002E-2</v>
      </c>
      <c r="T84" s="17">
        <v>7.9519000000000002</v>
      </c>
      <c r="U84" s="17">
        <v>0.1681</v>
      </c>
      <c r="V84" s="17">
        <v>1.6796</v>
      </c>
      <c r="W84" s="17">
        <v>0.1704</v>
      </c>
      <c r="X84" s="17">
        <v>1.3552</v>
      </c>
      <c r="Y84" s="17">
        <v>7.9799999999999996E-2</v>
      </c>
      <c r="Z84" s="17">
        <v>1.0450999999999999</v>
      </c>
      <c r="AA84" s="17">
        <v>8.6999999999999994E-2</v>
      </c>
      <c r="AB84" s="17">
        <v>2.6495000000000002</v>
      </c>
      <c r="AC84" s="17">
        <v>0.16270000000000001</v>
      </c>
      <c r="AD84" s="18">
        <f t="shared" si="6"/>
        <v>96.259799999999998</v>
      </c>
    </row>
    <row r="85" spans="1:30" x14ac:dyDescent="0.25">
      <c r="A85" s="2" t="s">
        <v>43</v>
      </c>
      <c r="B85" s="16" t="s">
        <v>228</v>
      </c>
      <c r="C85" s="16">
        <v>5</v>
      </c>
      <c r="D85" s="8">
        <v>1130</v>
      </c>
      <c r="E85" s="8">
        <v>197</v>
      </c>
      <c r="F85" s="9">
        <f t="shared" si="7"/>
        <v>7.1275837491090517</v>
      </c>
      <c r="G85" s="9" t="s">
        <v>27</v>
      </c>
      <c r="H85" s="17">
        <v>44.884500000000003</v>
      </c>
      <c r="I85" s="17">
        <v>0.32919999999999999</v>
      </c>
      <c r="J85" s="17">
        <v>2.1055000000000001</v>
      </c>
      <c r="K85" s="17">
        <v>6.9400000000000003E-2</v>
      </c>
      <c r="L85" s="17">
        <v>11.2616</v>
      </c>
      <c r="M85" s="17">
        <v>0.29530000000000001</v>
      </c>
      <c r="N85" s="17">
        <v>20.343599999999999</v>
      </c>
      <c r="O85" s="17">
        <v>0.38790000000000002</v>
      </c>
      <c r="P85" s="17">
        <v>2.7050000000000001</v>
      </c>
      <c r="Q85" s="17">
        <v>5.8799999999999998E-2</v>
      </c>
      <c r="R85" s="17">
        <v>0.3201</v>
      </c>
      <c r="S85" s="17">
        <v>6.25E-2</v>
      </c>
      <c r="T85" s="17">
        <v>7.9086999999999996</v>
      </c>
      <c r="U85" s="17">
        <v>0.16800000000000001</v>
      </c>
      <c r="V85" s="17">
        <v>1.8771</v>
      </c>
      <c r="W85" s="17">
        <v>0.17810000000000001</v>
      </c>
      <c r="X85" s="17">
        <v>1.3376999999999999</v>
      </c>
      <c r="Y85" s="17">
        <v>7.9899999999999999E-2</v>
      </c>
      <c r="Z85" s="17">
        <v>1.1234</v>
      </c>
      <c r="AA85" s="17">
        <v>8.8999999999999996E-2</v>
      </c>
      <c r="AB85" s="17">
        <v>2.5106999999999999</v>
      </c>
      <c r="AC85" s="17">
        <v>0.15840000000000001</v>
      </c>
      <c r="AD85" s="18">
        <f t="shared" si="6"/>
        <v>96.377899999999997</v>
      </c>
    </row>
    <row r="86" spans="1:30" x14ac:dyDescent="0.25">
      <c r="A86" s="12" t="s">
        <v>44</v>
      </c>
      <c r="B86" s="13" t="s">
        <v>226</v>
      </c>
      <c r="C86" s="13">
        <v>1</v>
      </c>
      <c r="D86" s="6">
        <v>1130</v>
      </c>
      <c r="E86" s="6">
        <v>197</v>
      </c>
      <c r="F86" s="7">
        <f t="shared" si="7"/>
        <v>7.1275837491090517</v>
      </c>
      <c r="G86" s="7" t="s">
        <v>27</v>
      </c>
      <c r="H86" s="15">
        <v>54.488100000000003</v>
      </c>
      <c r="I86" s="15">
        <v>0.37890000000000001</v>
      </c>
      <c r="J86" s="15">
        <v>0.54979999999999996</v>
      </c>
      <c r="K86" s="15">
        <v>4.2799999999999998E-2</v>
      </c>
      <c r="L86" s="15">
        <v>14.898899999999999</v>
      </c>
      <c r="M86" s="15">
        <v>0.33179999999999998</v>
      </c>
      <c r="N86" s="15">
        <v>9.8211999999999993</v>
      </c>
      <c r="O86" s="15">
        <v>0.25729999999999997</v>
      </c>
      <c r="P86" s="15">
        <v>3.0583</v>
      </c>
      <c r="Q86" s="15">
        <v>0.06</v>
      </c>
      <c r="R86" s="15">
        <v>0.18579999999999999</v>
      </c>
      <c r="S86" s="15">
        <v>5.3699999999999998E-2</v>
      </c>
      <c r="T86" s="15">
        <v>3.8231999999999999</v>
      </c>
      <c r="U86" s="15">
        <v>0.11890000000000001</v>
      </c>
      <c r="V86" s="15">
        <v>1.5604</v>
      </c>
      <c r="W86" s="15">
        <v>0.1535</v>
      </c>
      <c r="X86" s="15">
        <v>5.5749000000000004</v>
      </c>
      <c r="Y86" s="15">
        <v>0.1638</v>
      </c>
      <c r="Z86" s="15">
        <v>0.2218</v>
      </c>
      <c r="AA86" s="15">
        <v>0.05</v>
      </c>
      <c r="AB86" s="15">
        <v>1.3164</v>
      </c>
      <c r="AC86" s="15">
        <v>0.1178</v>
      </c>
      <c r="AD86" s="15">
        <f t="shared" si="6"/>
        <v>95.498800000000017</v>
      </c>
    </row>
    <row r="87" spans="1:30" x14ac:dyDescent="0.25">
      <c r="A87" s="12" t="s">
        <v>44</v>
      </c>
      <c r="B87" s="13" t="s">
        <v>226</v>
      </c>
      <c r="C87" s="13">
        <v>2</v>
      </c>
      <c r="D87" s="6">
        <v>1130</v>
      </c>
      <c r="E87" s="6">
        <v>197</v>
      </c>
      <c r="F87" s="7">
        <f t="shared" si="7"/>
        <v>7.1275837491090517</v>
      </c>
      <c r="G87" s="7" t="s">
        <v>27</v>
      </c>
      <c r="H87" s="15">
        <v>54.0105</v>
      </c>
      <c r="I87" s="15">
        <v>0.37659999999999999</v>
      </c>
      <c r="J87" s="15">
        <v>0.5484</v>
      </c>
      <c r="K87" s="15">
        <v>4.2999999999999997E-2</v>
      </c>
      <c r="L87" s="15">
        <v>14.673400000000001</v>
      </c>
      <c r="M87" s="15">
        <v>0.32979999999999998</v>
      </c>
      <c r="N87" s="15">
        <v>10.398199999999999</v>
      </c>
      <c r="O87" s="15">
        <v>0.26679999999999998</v>
      </c>
      <c r="P87" s="15">
        <v>3.0409000000000002</v>
      </c>
      <c r="Q87" s="15">
        <v>5.9700000000000003E-2</v>
      </c>
      <c r="R87" s="15">
        <v>0.18690000000000001</v>
      </c>
      <c r="S87" s="15">
        <v>5.5E-2</v>
      </c>
      <c r="T87" s="15">
        <v>3.7706</v>
      </c>
      <c r="U87" s="15">
        <v>0.11799999999999999</v>
      </c>
      <c r="V87" s="15">
        <v>1.4915</v>
      </c>
      <c r="W87" s="15">
        <v>0.15240000000000001</v>
      </c>
      <c r="X87" s="15">
        <v>5.5099</v>
      </c>
      <c r="Y87" s="15">
        <v>0.16259999999999999</v>
      </c>
      <c r="Z87" s="15">
        <v>0.21560000000000001</v>
      </c>
      <c r="AA87" s="15">
        <v>4.9500000000000002E-2</v>
      </c>
      <c r="AB87" s="15">
        <v>1.1673</v>
      </c>
      <c r="AC87" s="15">
        <v>0.1154</v>
      </c>
      <c r="AD87" s="15">
        <f t="shared" si="6"/>
        <v>95.013199999999998</v>
      </c>
    </row>
    <row r="88" spans="1:30" x14ac:dyDescent="0.25">
      <c r="A88" s="12" t="s">
        <v>44</v>
      </c>
      <c r="B88" s="13" t="s">
        <v>226</v>
      </c>
      <c r="C88" s="13">
        <v>3</v>
      </c>
      <c r="D88" s="6">
        <v>1130</v>
      </c>
      <c r="E88" s="6">
        <v>197</v>
      </c>
      <c r="F88" s="7">
        <f t="shared" si="7"/>
        <v>7.1275837491090517</v>
      </c>
      <c r="G88" s="7" t="s">
        <v>27</v>
      </c>
      <c r="H88" s="15">
        <v>53.689100000000003</v>
      </c>
      <c r="I88" s="15">
        <v>0.37480000000000002</v>
      </c>
      <c r="J88" s="15">
        <v>0.54190000000000005</v>
      </c>
      <c r="K88" s="15">
        <v>4.2900000000000001E-2</v>
      </c>
      <c r="L88" s="15">
        <v>14.786300000000001</v>
      </c>
      <c r="M88" s="15">
        <v>0.33090000000000003</v>
      </c>
      <c r="N88" s="15">
        <v>10.4939</v>
      </c>
      <c r="O88" s="15">
        <v>0.2666</v>
      </c>
      <c r="P88" s="15">
        <v>3.0748000000000002</v>
      </c>
      <c r="Q88" s="15">
        <v>6.0199999999999997E-2</v>
      </c>
      <c r="R88" s="15">
        <v>0.17580000000000001</v>
      </c>
      <c r="S88" s="15">
        <v>5.21E-2</v>
      </c>
      <c r="T88" s="15">
        <v>3.7797999999999998</v>
      </c>
      <c r="U88" s="15">
        <v>0.11849999999999999</v>
      </c>
      <c r="V88" s="15">
        <v>1.4896</v>
      </c>
      <c r="W88" s="15">
        <v>0.15229999999999999</v>
      </c>
      <c r="X88" s="15">
        <v>5.3434999999999997</v>
      </c>
      <c r="Y88" s="15">
        <v>0.16009999999999999</v>
      </c>
      <c r="Z88" s="15">
        <v>0.30830000000000002</v>
      </c>
      <c r="AA88" s="15">
        <v>5.6000000000000001E-2</v>
      </c>
      <c r="AB88" s="15">
        <v>1.3008</v>
      </c>
      <c r="AC88" s="15">
        <v>0.1193</v>
      </c>
      <c r="AD88" s="15">
        <f t="shared" si="6"/>
        <v>94.983799999999988</v>
      </c>
    </row>
    <row r="89" spans="1:30" x14ac:dyDescent="0.25">
      <c r="A89" s="12" t="s">
        <v>44</v>
      </c>
      <c r="B89" s="13" t="s">
        <v>226</v>
      </c>
      <c r="C89" s="13">
        <v>4</v>
      </c>
      <c r="D89" s="6">
        <v>1130</v>
      </c>
      <c r="E89" s="6">
        <v>197</v>
      </c>
      <c r="F89" s="7">
        <f t="shared" si="7"/>
        <v>7.1275837491090517</v>
      </c>
      <c r="G89" s="7" t="s">
        <v>27</v>
      </c>
      <c r="H89" s="15">
        <v>53.719299999999997</v>
      </c>
      <c r="I89" s="15">
        <v>0.375</v>
      </c>
      <c r="J89" s="15">
        <v>0.57440000000000002</v>
      </c>
      <c r="K89" s="15">
        <v>4.3200000000000002E-2</v>
      </c>
      <c r="L89" s="15">
        <v>14.7822</v>
      </c>
      <c r="M89" s="15">
        <v>0.33119999999999999</v>
      </c>
      <c r="N89" s="15">
        <v>10.6937</v>
      </c>
      <c r="O89" s="15">
        <v>0.2702</v>
      </c>
      <c r="P89" s="15">
        <v>3.0962000000000001</v>
      </c>
      <c r="Q89" s="15">
        <v>6.08E-2</v>
      </c>
      <c r="R89" s="15">
        <v>0.1951</v>
      </c>
      <c r="S89" s="15">
        <v>5.57E-2</v>
      </c>
      <c r="T89" s="15">
        <v>3.9116</v>
      </c>
      <c r="U89" s="15">
        <v>0.11990000000000001</v>
      </c>
      <c r="V89" s="15">
        <v>1.5827</v>
      </c>
      <c r="W89" s="15">
        <v>0.15620000000000001</v>
      </c>
      <c r="X89" s="15">
        <v>5.3743999999999996</v>
      </c>
      <c r="Y89" s="15">
        <v>0.16020000000000001</v>
      </c>
      <c r="Z89" s="15">
        <v>0.21970000000000001</v>
      </c>
      <c r="AA89" s="15">
        <v>4.8500000000000001E-2</v>
      </c>
      <c r="AB89" s="15">
        <v>1.3131999999999999</v>
      </c>
      <c r="AC89" s="15">
        <v>0.1198</v>
      </c>
      <c r="AD89" s="15">
        <f t="shared" si="6"/>
        <v>95.462499999999991</v>
      </c>
    </row>
    <row r="90" spans="1:30" x14ac:dyDescent="0.25">
      <c r="A90" s="12" t="s">
        <v>44</v>
      </c>
      <c r="B90" s="13" t="s">
        <v>226</v>
      </c>
      <c r="C90" s="13">
        <v>5</v>
      </c>
      <c r="D90" s="6">
        <v>1130</v>
      </c>
      <c r="E90" s="6">
        <v>197</v>
      </c>
      <c r="F90" s="7">
        <f t="shared" si="7"/>
        <v>7.1275837491090517</v>
      </c>
      <c r="G90" s="7" t="s">
        <v>27</v>
      </c>
      <c r="H90" s="15">
        <v>53.042400000000001</v>
      </c>
      <c r="I90" s="15">
        <v>0.37159999999999999</v>
      </c>
      <c r="J90" s="15">
        <v>0.5262</v>
      </c>
      <c r="K90" s="15">
        <v>4.2299999999999997E-2</v>
      </c>
      <c r="L90" s="15">
        <v>14.507899999999999</v>
      </c>
      <c r="M90" s="15">
        <v>0.3286</v>
      </c>
      <c r="N90" s="15">
        <v>11.1159</v>
      </c>
      <c r="O90" s="15">
        <v>0.27510000000000001</v>
      </c>
      <c r="P90" s="15">
        <v>3.1160000000000001</v>
      </c>
      <c r="Q90" s="15">
        <v>6.0400000000000002E-2</v>
      </c>
      <c r="R90" s="15">
        <v>0.14749999999999999</v>
      </c>
      <c r="S90" s="15">
        <v>5.4300000000000001E-2</v>
      </c>
      <c r="T90" s="15">
        <v>3.8435000000000001</v>
      </c>
      <c r="U90" s="15">
        <v>0.11899999999999999</v>
      </c>
      <c r="V90" s="15">
        <v>1.4339</v>
      </c>
      <c r="W90" s="15">
        <v>0.1492</v>
      </c>
      <c r="X90" s="15">
        <v>5.1962999999999999</v>
      </c>
      <c r="Y90" s="15">
        <v>0.1575</v>
      </c>
      <c r="Z90" s="15">
        <v>0.21659999999999999</v>
      </c>
      <c r="AA90" s="15">
        <v>4.8800000000000003E-2</v>
      </c>
      <c r="AB90" s="15">
        <v>1.3351999999999999</v>
      </c>
      <c r="AC90" s="15">
        <v>0.1201</v>
      </c>
      <c r="AD90" s="15">
        <f t="shared" si="6"/>
        <v>94.481399999999994</v>
      </c>
    </row>
    <row r="91" spans="1:30" x14ac:dyDescent="0.25">
      <c r="A91" s="2" t="s">
        <v>45</v>
      </c>
      <c r="B91" s="16" t="s">
        <v>227</v>
      </c>
      <c r="C91" s="16">
        <v>1</v>
      </c>
      <c r="D91" s="8">
        <v>1130</v>
      </c>
      <c r="E91" s="8">
        <v>194</v>
      </c>
      <c r="F91" s="9">
        <f t="shared" si="7"/>
        <v>7.1275837491090517</v>
      </c>
      <c r="G91" s="9" t="s">
        <v>46</v>
      </c>
      <c r="H91" s="18">
        <v>70.601100000000002</v>
      </c>
      <c r="I91" s="18">
        <v>0.45779999999999998</v>
      </c>
      <c r="J91" s="18">
        <v>0.7036</v>
      </c>
      <c r="K91" s="18">
        <v>4.6699999999999998E-2</v>
      </c>
      <c r="L91" s="18">
        <v>11.681100000000001</v>
      </c>
      <c r="M91" s="18">
        <v>0.28339999999999999</v>
      </c>
      <c r="N91" s="18">
        <v>8.2299999999999998E-2</v>
      </c>
      <c r="O91" s="18">
        <v>5.11E-2</v>
      </c>
      <c r="P91" s="18">
        <v>0.47749999999999998</v>
      </c>
      <c r="Q91" s="18">
        <v>2.6100000000000002E-2</v>
      </c>
      <c r="R91" s="18">
        <v>1.66E-2</v>
      </c>
      <c r="S91" s="18">
        <v>4.1799999999999997E-2</v>
      </c>
      <c r="T91" s="18">
        <v>1.1073999999999999</v>
      </c>
      <c r="U91" s="18">
        <v>6.8000000000000005E-2</v>
      </c>
      <c r="V91" s="18">
        <v>0.51459999999999995</v>
      </c>
      <c r="W91" s="18">
        <v>8.72E-2</v>
      </c>
      <c r="X91" s="18">
        <v>5.4604999999999997</v>
      </c>
      <c r="Y91" s="18">
        <v>0.16320000000000001</v>
      </c>
      <c r="Z91" s="18">
        <v>0.18890000000000001</v>
      </c>
      <c r="AA91" s="18">
        <v>4.3499999999999997E-2</v>
      </c>
      <c r="AB91" s="18">
        <v>0.23880000000000001</v>
      </c>
      <c r="AC91" s="18">
        <v>6.4500000000000002E-2</v>
      </c>
      <c r="AD91" s="18">
        <f t="shared" si="6"/>
        <v>91.072400000000002</v>
      </c>
    </row>
    <row r="92" spans="1:30" x14ac:dyDescent="0.25">
      <c r="A92" s="2" t="s">
        <v>45</v>
      </c>
      <c r="B92" s="16" t="s">
        <v>227</v>
      </c>
      <c r="C92" s="16">
        <v>2</v>
      </c>
      <c r="D92" s="8">
        <v>1130</v>
      </c>
      <c r="E92" s="8">
        <v>194</v>
      </c>
      <c r="F92" s="9">
        <f t="shared" si="7"/>
        <v>7.1275837491090517</v>
      </c>
      <c r="G92" s="9" t="s">
        <v>46</v>
      </c>
      <c r="H92" s="18">
        <v>70.192300000000003</v>
      </c>
      <c r="I92" s="18">
        <v>0.45590000000000003</v>
      </c>
      <c r="J92" s="18">
        <v>0.64219999999999999</v>
      </c>
      <c r="K92" s="18">
        <v>4.48E-2</v>
      </c>
      <c r="L92" s="18">
        <v>11.7767</v>
      </c>
      <c r="M92" s="18">
        <v>0.28489999999999999</v>
      </c>
      <c r="N92" s="18">
        <v>0.1361</v>
      </c>
      <c r="O92" s="18">
        <v>5.0999999999999997E-2</v>
      </c>
      <c r="P92" s="18">
        <v>0.4955</v>
      </c>
      <c r="Q92" s="18">
        <v>2.6200000000000001E-2</v>
      </c>
      <c r="R92" s="18">
        <v>8.8999999999999999E-3</v>
      </c>
      <c r="S92" s="18">
        <v>4.1200000000000001E-2</v>
      </c>
      <c r="T92" s="18">
        <v>1.0509999999999999</v>
      </c>
      <c r="U92" s="18">
        <v>6.6500000000000004E-2</v>
      </c>
      <c r="V92" s="18">
        <v>0.53720000000000001</v>
      </c>
      <c r="W92" s="18">
        <v>8.9300000000000004E-2</v>
      </c>
      <c r="X92" s="18">
        <v>5.4553000000000003</v>
      </c>
      <c r="Y92" s="18">
        <v>0.1633</v>
      </c>
      <c r="Z92" s="18">
        <v>3.1600000000000003E-2</v>
      </c>
      <c r="AA92" s="18">
        <v>3.1300000000000001E-2</v>
      </c>
      <c r="AB92" s="18">
        <v>0.1774</v>
      </c>
      <c r="AC92" s="18">
        <v>6.3799999999999996E-2</v>
      </c>
      <c r="AD92" s="18">
        <f t="shared" si="6"/>
        <v>90.504200000000012</v>
      </c>
    </row>
    <row r="93" spans="1:30" x14ac:dyDescent="0.25">
      <c r="A93" s="2" t="s">
        <v>45</v>
      </c>
      <c r="B93" s="16" t="s">
        <v>227</v>
      </c>
      <c r="C93" s="16">
        <v>3</v>
      </c>
      <c r="D93" s="8">
        <v>1130</v>
      </c>
      <c r="E93" s="8">
        <v>194</v>
      </c>
      <c r="F93" s="9">
        <f t="shared" si="7"/>
        <v>7.1275837491090517</v>
      </c>
      <c r="G93" s="9" t="s">
        <v>46</v>
      </c>
      <c r="H93" s="18">
        <v>70.698999999999998</v>
      </c>
      <c r="I93" s="18">
        <v>0.45850000000000002</v>
      </c>
      <c r="J93" s="18">
        <v>0.67669999999999997</v>
      </c>
      <c r="K93" s="18">
        <v>4.5600000000000002E-2</v>
      </c>
      <c r="L93" s="18">
        <v>11.8805</v>
      </c>
      <c r="M93" s="18">
        <v>0.28610000000000002</v>
      </c>
      <c r="N93" s="18">
        <v>0.1396</v>
      </c>
      <c r="O93" s="18">
        <v>4.99E-2</v>
      </c>
      <c r="P93" s="18">
        <v>0.49759999999999999</v>
      </c>
      <c r="Q93" s="18">
        <v>2.64E-2</v>
      </c>
      <c r="R93" s="18">
        <v>3.1099999999999999E-2</v>
      </c>
      <c r="S93" s="18">
        <v>4.1700000000000001E-2</v>
      </c>
      <c r="T93" s="18">
        <v>1.0915999999999999</v>
      </c>
      <c r="U93" s="18">
        <v>6.6400000000000001E-2</v>
      </c>
      <c r="V93" s="18">
        <v>0.59250000000000003</v>
      </c>
      <c r="W93" s="18">
        <v>9.1999999999999998E-2</v>
      </c>
      <c r="X93" s="18">
        <v>5.3582000000000001</v>
      </c>
      <c r="Y93" s="18">
        <v>0.16239999999999999</v>
      </c>
      <c r="Z93" s="18">
        <v>1.1599999999999999E-2</v>
      </c>
      <c r="AA93" s="18">
        <v>3.1699999999999999E-2</v>
      </c>
      <c r="AB93" s="18">
        <v>0.1865</v>
      </c>
      <c r="AC93" s="18">
        <v>6.1100000000000002E-2</v>
      </c>
      <c r="AD93" s="18">
        <f t="shared" si="6"/>
        <v>91.164899999999989</v>
      </c>
    </row>
    <row r="94" spans="1:30" x14ac:dyDescent="0.25">
      <c r="A94" s="2" t="s">
        <v>45</v>
      </c>
      <c r="B94" s="16" t="s">
        <v>227</v>
      </c>
      <c r="C94" s="16">
        <v>4</v>
      </c>
      <c r="D94" s="8">
        <v>1130</v>
      </c>
      <c r="E94" s="8">
        <v>194</v>
      </c>
      <c r="F94" s="9">
        <f t="shared" si="7"/>
        <v>7.1275837491090517</v>
      </c>
      <c r="G94" s="9" t="s">
        <v>46</v>
      </c>
      <c r="H94" s="18">
        <v>70.237499999999997</v>
      </c>
      <c r="I94" s="18">
        <v>0.45610000000000001</v>
      </c>
      <c r="J94" s="18">
        <v>0.69130000000000003</v>
      </c>
      <c r="K94" s="18">
        <v>4.5900000000000003E-2</v>
      </c>
      <c r="L94" s="18">
        <v>11.88</v>
      </c>
      <c r="M94" s="18">
        <v>0.28589999999999999</v>
      </c>
      <c r="N94" s="18">
        <v>0.1017</v>
      </c>
      <c r="O94" s="18">
        <v>4.8099999999999997E-2</v>
      </c>
      <c r="P94" s="18">
        <v>0.4854</v>
      </c>
      <c r="Q94" s="18">
        <v>2.6100000000000002E-2</v>
      </c>
      <c r="R94" s="18">
        <v>4.4000000000000003E-3</v>
      </c>
      <c r="S94" s="18">
        <v>4.2700000000000002E-2</v>
      </c>
      <c r="T94" s="18">
        <v>1.0451999999999999</v>
      </c>
      <c r="U94" s="18">
        <v>6.5500000000000003E-2</v>
      </c>
      <c r="V94" s="18">
        <v>0.501</v>
      </c>
      <c r="W94" s="18">
        <v>8.6599999999999996E-2</v>
      </c>
      <c r="X94" s="18">
        <v>5.3544999999999998</v>
      </c>
      <c r="Y94" s="18">
        <v>0.1618</v>
      </c>
      <c r="Z94" s="18">
        <v>-2.3300000000000001E-2</v>
      </c>
      <c r="AA94" s="18">
        <v>3.1300000000000001E-2</v>
      </c>
      <c r="AB94" s="18">
        <v>0.23369999999999999</v>
      </c>
      <c r="AC94" s="18">
        <v>6.8400000000000002E-2</v>
      </c>
      <c r="AD94" s="18">
        <f t="shared" si="6"/>
        <v>90.511399999999981</v>
      </c>
    </row>
    <row r="95" spans="1:30" x14ac:dyDescent="0.25">
      <c r="A95" s="2" t="s">
        <v>45</v>
      </c>
      <c r="B95" s="16" t="s">
        <v>227</v>
      </c>
      <c r="C95" s="16">
        <v>5</v>
      </c>
      <c r="D95" s="8">
        <v>1130</v>
      </c>
      <c r="E95" s="8">
        <v>194</v>
      </c>
      <c r="F95" s="9">
        <f t="shared" si="7"/>
        <v>7.1275837491090517</v>
      </c>
      <c r="G95" s="9" t="s">
        <v>46</v>
      </c>
      <c r="H95" s="18">
        <v>70.6447</v>
      </c>
      <c r="I95" s="18">
        <v>0.45810000000000001</v>
      </c>
      <c r="J95" s="18">
        <v>0.73480000000000001</v>
      </c>
      <c r="K95" s="18">
        <v>4.7399999999999998E-2</v>
      </c>
      <c r="L95" s="18">
        <v>11.676600000000001</v>
      </c>
      <c r="M95" s="18">
        <v>0.28339999999999999</v>
      </c>
      <c r="N95" s="18">
        <v>0.11849999999999999</v>
      </c>
      <c r="O95" s="18">
        <v>5.0299999999999997E-2</v>
      </c>
      <c r="P95" s="18">
        <v>0.48159999999999997</v>
      </c>
      <c r="Q95" s="18">
        <v>2.58E-2</v>
      </c>
      <c r="R95" s="18">
        <v>1.89E-2</v>
      </c>
      <c r="S95" s="18">
        <v>4.2000000000000003E-2</v>
      </c>
      <c r="T95" s="18">
        <v>1.0923</v>
      </c>
      <c r="U95" s="18">
        <v>6.6299999999999998E-2</v>
      </c>
      <c r="V95" s="18">
        <v>0.61739999999999995</v>
      </c>
      <c r="W95" s="18">
        <v>9.4799999999999995E-2</v>
      </c>
      <c r="X95" s="18">
        <v>5.4175000000000004</v>
      </c>
      <c r="Y95" s="18">
        <v>0.16300000000000001</v>
      </c>
      <c r="Z95" s="18">
        <v>3.61E-2</v>
      </c>
      <c r="AA95" s="18">
        <v>2.9100000000000001E-2</v>
      </c>
      <c r="AB95" s="18">
        <v>0.2155</v>
      </c>
      <c r="AC95" s="18">
        <v>6.1899999999999997E-2</v>
      </c>
      <c r="AD95" s="18">
        <f t="shared" si="6"/>
        <v>91.053900000000027</v>
      </c>
    </row>
    <row r="96" spans="1:30" x14ac:dyDescent="0.25">
      <c r="A96" s="12" t="s">
        <v>47</v>
      </c>
      <c r="B96" s="13" t="s">
        <v>228</v>
      </c>
      <c r="C96" s="13">
        <v>1</v>
      </c>
      <c r="D96" s="6">
        <v>1130</v>
      </c>
      <c r="E96" s="6">
        <v>194</v>
      </c>
      <c r="F96" s="7">
        <f t="shared" si="7"/>
        <v>7.1275837491090517</v>
      </c>
      <c r="G96" s="7" t="s">
        <v>46</v>
      </c>
      <c r="H96" s="15">
        <v>52.4985</v>
      </c>
      <c r="I96" s="15">
        <v>0.36770000000000003</v>
      </c>
      <c r="J96" s="15">
        <v>2.3725000000000001</v>
      </c>
      <c r="K96" s="15">
        <v>7.4300000000000005E-2</v>
      </c>
      <c r="L96" s="15">
        <v>12.4664</v>
      </c>
      <c r="M96" s="15">
        <v>0.30149999999999999</v>
      </c>
      <c r="N96" s="15">
        <v>3.4182999999999999</v>
      </c>
      <c r="O96" s="15">
        <v>0.15110000000000001</v>
      </c>
      <c r="P96" s="15">
        <v>3.0222000000000002</v>
      </c>
      <c r="Q96" s="15">
        <v>5.91E-2</v>
      </c>
      <c r="R96" s="15">
        <v>-7.7000000000000002E-3</v>
      </c>
      <c r="S96" s="15">
        <v>4.3299999999999998E-2</v>
      </c>
      <c r="T96" s="15">
        <v>9.2082999999999995</v>
      </c>
      <c r="U96" s="15">
        <v>0.18340000000000001</v>
      </c>
      <c r="V96" s="15">
        <v>2.1137999999999999</v>
      </c>
      <c r="W96" s="15">
        <v>0.17150000000000001</v>
      </c>
      <c r="X96" s="15">
        <v>1.4906999999999999</v>
      </c>
      <c r="Y96" s="15">
        <v>8.4500000000000006E-2</v>
      </c>
      <c r="Z96" s="15">
        <v>1.2624</v>
      </c>
      <c r="AA96" s="15">
        <v>9.6000000000000002E-2</v>
      </c>
      <c r="AB96" s="15">
        <v>1.0712999999999999</v>
      </c>
      <c r="AC96" s="15">
        <v>0.1139</v>
      </c>
      <c r="AD96" s="15">
        <f t="shared" si="6"/>
        <v>88.916699999999992</v>
      </c>
    </row>
    <row r="97" spans="1:30" x14ac:dyDescent="0.25">
      <c r="A97" s="12" t="s">
        <v>47</v>
      </c>
      <c r="B97" s="13" t="s">
        <v>228</v>
      </c>
      <c r="C97" s="13">
        <v>2</v>
      </c>
      <c r="D97" s="6">
        <v>1130</v>
      </c>
      <c r="E97" s="6">
        <v>194</v>
      </c>
      <c r="F97" s="7">
        <f t="shared" si="7"/>
        <v>7.1275837491090517</v>
      </c>
      <c r="G97" s="7" t="s">
        <v>46</v>
      </c>
      <c r="H97" s="15">
        <v>51.783499999999997</v>
      </c>
      <c r="I97" s="15">
        <v>0.36399999999999999</v>
      </c>
      <c r="J97" s="15">
        <v>2.3955000000000002</v>
      </c>
      <c r="K97" s="15">
        <v>7.4300000000000005E-2</v>
      </c>
      <c r="L97" s="15">
        <v>12.491</v>
      </c>
      <c r="M97" s="15">
        <v>0.30159999999999998</v>
      </c>
      <c r="N97" s="15">
        <v>3.6252</v>
      </c>
      <c r="O97" s="15">
        <v>0.15440000000000001</v>
      </c>
      <c r="P97" s="15">
        <v>2.9220000000000002</v>
      </c>
      <c r="Q97" s="15">
        <v>5.8099999999999999E-2</v>
      </c>
      <c r="R97" s="15">
        <v>1.1000000000000001E-3</v>
      </c>
      <c r="S97" s="15">
        <v>4.3900000000000002E-2</v>
      </c>
      <c r="T97" s="15">
        <v>9.1338000000000008</v>
      </c>
      <c r="U97" s="15">
        <v>0.18290000000000001</v>
      </c>
      <c r="V97" s="15">
        <v>1.8937999999999999</v>
      </c>
      <c r="W97" s="15">
        <v>0.16320000000000001</v>
      </c>
      <c r="X97" s="15">
        <v>1.5167999999999999</v>
      </c>
      <c r="Y97" s="15">
        <v>8.4900000000000003E-2</v>
      </c>
      <c r="Z97" s="15">
        <v>1.2198</v>
      </c>
      <c r="AA97" s="15">
        <v>9.5799999999999996E-2</v>
      </c>
      <c r="AB97" s="15">
        <v>1.1001000000000001</v>
      </c>
      <c r="AC97" s="15">
        <v>0.1149</v>
      </c>
      <c r="AD97" s="15">
        <f t="shared" si="6"/>
        <v>88.082599999999985</v>
      </c>
    </row>
    <row r="98" spans="1:30" x14ac:dyDescent="0.25">
      <c r="A98" s="12" t="s">
        <v>47</v>
      </c>
      <c r="B98" s="13" t="s">
        <v>228</v>
      </c>
      <c r="C98" s="13">
        <v>3</v>
      </c>
      <c r="D98" s="6">
        <v>1130</v>
      </c>
      <c r="E98" s="6">
        <v>194</v>
      </c>
      <c r="F98" s="7">
        <f t="shared" si="7"/>
        <v>7.1275837491090517</v>
      </c>
      <c r="G98" s="7" t="s">
        <v>46</v>
      </c>
      <c r="H98" s="15">
        <v>51.020800000000001</v>
      </c>
      <c r="I98" s="15">
        <v>0.36020000000000002</v>
      </c>
      <c r="J98" s="15">
        <v>2.3986999999999998</v>
      </c>
      <c r="K98" s="15">
        <v>7.4300000000000005E-2</v>
      </c>
      <c r="L98" s="15">
        <v>12.329700000000001</v>
      </c>
      <c r="M98" s="15">
        <v>0.2999</v>
      </c>
      <c r="N98" s="15">
        <v>3.5023</v>
      </c>
      <c r="O98" s="15">
        <v>0.1532</v>
      </c>
      <c r="P98" s="15">
        <v>2.9178000000000002</v>
      </c>
      <c r="Q98" s="15">
        <v>5.7799999999999997E-2</v>
      </c>
      <c r="R98" s="15">
        <v>2.86E-2</v>
      </c>
      <c r="S98" s="15">
        <v>4.3999999999999997E-2</v>
      </c>
      <c r="T98" s="15">
        <v>9.0015999999999998</v>
      </c>
      <c r="U98" s="15">
        <v>0.18140000000000001</v>
      </c>
      <c r="V98" s="15">
        <v>2.0402999999999998</v>
      </c>
      <c r="W98" s="15">
        <v>0.1694</v>
      </c>
      <c r="X98" s="15">
        <v>1.5104</v>
      </c>
      <c r="Y98" s="15">
        <v>8.5000000000000006E-2</v>
      </c>
      <c r="Z98" s="15">
        <v>1.2798</v>
      </c>
      <c r="AA98" s="15">
        <v>9.7500000000000003E-2</v>
      </c>
      <c r="AB98" s="15">
        <v>1.1226</v>
      </c>
      <c r="AC98" s="15">
        <v>0.1154</v>
      </c>
      <c r="AD98" s="15">
        <f t="shared" si="6"/>
        <v>87.152600000000007</v>
      </c>
    </row>
    <row r="99" spans="1:30" x14ac:dyDescent="0.25">
      <c r="A99" s="12" t="s">
        <v>47</v>
      </c>
      <c r="B99" s="13" t="s">
        <v>228</v>
      </c>
      <c r="C99" s="13">
        <v>4</v>
      </c>
      <c r="D99" s="6">
        <v>1130</v>
      </c>
      <c r="E99" s="6">
        <v>194</v>
      </c>
      <c r="F99" s="7">
        <f t="shared" si="7"/>
        <v>7.1275837491090517</v>
      </c>
      <c r="G99" s="7" t="s">
        <v>46</v>
      </c>
      <c r="H99" s="15">
        <v>51.134599999999999</v>
      </c>
      <c r="I99" s="15">
        <v>0.36070000000000002</v>
      </c>
      <c r="J99" s="15">
        <v>2.3224</v>
      </c>
      <c r="K99" s="15">
        <v>7.3800000000000004E-2</v>
      </c>
      <c r="L99" s="15">
        <v>12.3368</v>
      </c>
      <c r="M99" s="15">
        <v>0.30020000000000002</v>
      </c>
      <c r="N99" s="15">
        <v>3.5303</v>
      </c>
      <c r="O99" s="15">
        <v>0.15229999999999999</v>
      </c>
      <c r="P99" s="15">
        <v>3.0205000000000002</v>
      </c>
      <c r="Q99" s="15">
        <v>5.8900000000000001E-2</v>
      </c>
      <c r="R99" s="15">
        <v>0</v>
      </c>
      <c r="S99" s="15">
        <v>4.6100000000000002E-2</v>
      </c>
      <c r="T99" s="15">
        <v>9.0914999999999999</v>
      </c>
      <c r="U99" s="15">
        <v>0.182</v>
      </c>
      <c r="V99" s="15">
        <v>2.0110999999999999</v>
      </c>
      <c r="W99" s="15">
        <v>0.1681</v>
      </c>
      <c r="X99" s="15">
        <v>1.5193000000000001</v>
      </c>
      <c r="Y99" s="15">
        <v>8.5199999999999998E-2</v>
      </c>
      <c r="Z99" s="15">
        <v>1.4469000000000001</v>
      </c>
      <c r="AA99" s="15">
        <v>0.1032</v>
      </c>
      <c r="AB99" s="15">
        <v>1.1093999999999999</v>
      </c>
      <c r="AC99" s="15">
        <v>0.11360000000000001</v>
      </c>
      <c r="AD99" s="15">
        <f t="shared" si="6"/>
        <v>87.522799999999989</v>
      </c>
    </row>
    <row r="100" spans="1:30" x14ac:dyDescent="0.25">
      <c r="A100" s="12" t="s">
        <v>47</v>
      </c>
      <c r="B100" s="13" t="s">
        <v>228</v>
      </c>
      <c r="C100" s="13">
        <v>5</v>
      </c>
      <c r="D100" s="6">
        <v>1130</v>
      </c>
      <c r="E100" s="6">
        <v>194</v>
      </c>
      <c r="F100" s="7">
        <f t="shared" si="7"/>
        <v>7.1275837491090517</v>
      </c>
      <c r="G100" s="7" t="s">
        <v>46</v>
      </c>
      <c r="H100" s="15">
        <v>51.2455</v>
      </c>
      <c r="I100" s="15">
        <v>0.36159999999999998</v>
      </c>
      <c r="J100" s="15">
        <v>2.3906000000000001</v>
      </c>
      <c r="K100" s="15">
        <v>7.4300000000000005E-2</v>
      </c>
      <c r="L100" s="15">
        <v>13.004899999999999</v>
      </c>
      <c r="M100" s="15">
        <v>0.30790000000000001</v>
      </c>
      <c r="N100" s="15">
        <v>3.4447000000000001</v>
      </c>
      <c r="O100" s="15">
        <v>0.15229999999999999</v>
      </c>
      <c r="P100" s="15">
        <v>2.8914</v>
      </c>
      <c r="Q100" s="15">
        <v>5.8000000000000003E-2</v>
      </c>
      <c r="R100" s="15">
        <v>4.7300000000000002E-2</v>
      </c>
      <c r="S100" s="15">
        <v>4.58E-2</v>
      </c>
      <c r="T100" s="15">
        <v>8.9699000000000009</v>
      </c>
      <c r="U100" s="15">
        <v>0.18110000000000001</v>
      </c>
      <c r="V100" s="15">
        <v>2.0661</v>
      </c>
      <c r="W100" s="15">
        <v>0.17</v>
      </c>
      <c r="X100" s="15">
        <v>1.4649000000000001</v>
      </c>
      <c r="Y100" s="15">
        <v>8.3799999999999999E-2</v>
      </c>
      <c r="Z100" s="15">
        <v>1.2577</v>
      </c>
      <c r="AA100" s="15">
        <v>9.5200000000000007E-2</v>
      </c>
      <c r="AB100" s="15">
        <v>0.97760000000000002</v>
      </c>
      <c r="AC100" s="15">
        <v>0.1109</v>
      </c>
      <c r="AD100" s="15">
        <f t="shared" si="6"/>
        <v>87.760599999999997</v>
      </c>
    </row>
    <row r="101" spans="1:30" x14ac:dyDescent="0.25">
      <c r="A101" s="2" t="s">
        <v>48</v>
      </c>
      <c r="B101" s="16" t="s">
        <v>229</v>
      </c>
      <c r="C101" s="16">
        <v>1</v>
      </c>
      <c r="D101" s="8">
        <v>1130</v>
      </c>
      <c r="E101" s="8">
        <v>194</v>
      </c>
      <c r="F101" s="9">
        <f t="shared" si="7"/>
        <v>7.1275837491090517</v>
      </c>
      <c r="G101" s="9" t="s">
        <v>46</v>
      </c>
      <c r="H101" s="18">
        <v>45.932400000000001</v>
      </c>
      <c r="I101" s="18">
        <v>0.33700000000000002</v>
      </c>
      <c r="J101" s="18">
        <v>0.59589999999999999</v>
      </c>
      <c r="K101" s="18">
        <v>4.3200000000000002E-2</v>
      </c>
      <c r="L101" s="18">
        <v>22.695</v>
      </c>
      <c r="M101" s="18">
        <v>0.40849999999999997</v>
      </c>
      <c r="N101" s="18">
        <v>0.59299999999999997</v>
      </c>
      <c r="O101" s="18">
        <v>7.2999999999999995E-2</v>
      </c>
      <c r="P101" s="18">
        <v>5.9050000000000002</v>
      </c>
      <c r="Q101" s="18">
        <v>7.9899999999999999E-2</v>
      </c>
      <c r="R101" s="18">
        <v>1.1000000000000001E-3</v>
      </c>
      <c r="S101" s="18">
        <v>4.0399999999999998E-2</v>
      </c>
      <c r="T101" s="18">
        <v>11.401300000000001</v>
      </c>
      <c r="U101" s="18">
        <v>0.2054</v>
      </c>
      <c r="V101" s="18">
        <v>0.47889999999999999</v>
      </c>
      <c r="W101" s="18">
        <v>8.6800000000000002E-2</v>
      </c>
      <c r="X101" s="18">
        <v>1.1978</v>
      </c>
      <c r="Y101" s="18">
        <v>7.6300000000000007E-2</v>
      </c>
      <c r="Z101" s="18">
        <v>0.21410000000000001</v>
      </c>
      <c r="AA101" s="18">
        <v>4.7500000000000001E-2</v>
      </c>
      <c r="AB101" s="18">
        <v>0.9113</v>
      </c>
      <c r="AC101" s="18">
        <v>0.1038</v>
      </c>
      <c r="AD101" s="18">
        <f t="shared" si="6"/>
        <v>89.925799999999995</v>
      </c>
    </row>
    <row r="102" spans="1:30" x14ac:dyDescent="0.25">
      <c r="A102" s="2" t="s">
        <v>48</v>
      </c>
      <c r="B102" s="16" t="s">
        <v>229</v>
      </c>
      <c r="C102" s="16">
        <v>2</v>
      </c>
      <c r="D102" s="8">
        <v>1130</v>
      </c>
      <c r="E102" s="8">
        <v>194</v>
      </c>
      <c r="F102" s="9">
        <f t="shared" si="7"/>
        <v>7.1275837491090517</v>
      </c>
      <c r="G102" s="9" t="s">
        <v>46</v>
      </c>
      <c r="H102" s="18">
        <v>46.3611</v>
      </c>
      <c r="I102" s="18">
        <v>0.33900000000000002</v>
      </c>
      <c r="J102" s="18">
        <v>0.58089999999999997</v>
      </c>
      <c r="K102" s="18">
        <v>4.3900000000000002E-2</v>
      </c>
      <c r="L102" s="18">
        <v>22.418299999999999</v>
      </c>
      <c r="M102" s="18">
        <v>0.40570000000000001</v>
      </c>
      <c r="N102" s="18">
        <v>0.58379999999999999</v>
      </c>
      <c r="O102" s="18">
        <v>7.2999999999999995E-2</v>
      </c>
      <c r="P102" s="18">
        <v>5.8959000000000001</v>
      </c>
      <c r="Q102" s="18">
        <v>7.9899999999999999E-2</v>
      </c>
      <c r="R102" s="18">
        <v>-2.1000000000000001E-2</v>
      </c>
      <c r="S102" s="18">
        <v>4.1599999999999998E-2</v>
      </c>
      <c r="T102" s="18">
        <v>11.335900000000001</v>
      </c>
      <c r="U102" s="18">
        <v>0.2051</v>
      </c>
      <c r="V102" s="18">
        <v>0.33069999999999999</v>
      </c>
      <c r="W102" s="18">
        <v>7.5800000000000006E-2</v>
      </c>
      <c r="X102" s="18">
        <v>1.1647000000000001</v>
      </c>
      <c r="Y102" s="18">
        <v>7.51E-2</v>
      </c>
      <c r="Z102" s="18">
        <v>0.2944</v>
      </c>
      <c r="AA102" s="18">
        <v>5.1999999999999998E-2</v>
      </c>
      <c r="AB102" s="18">
        <v>1.0034000000000001</v>
      </c>
      <c r="AC102" s="18">
        <v>0.1066</v>
      </c>
      <c r="AD102" s="18">
        <f t="shared" si="6"/>
        <v>89.948099999999968</v>
      </c>
    </row>
    <row r="103" spans="1:30" x14ac:dyDescent="0.25">
      <c r="A103" s="2" t="s">
        <v>48</v>
      </c>
      <c r="B103" s="16" t="s">
        <v>229</v>
      </c>
      <c r="C103" s="16">
        <v>3</v>
      </c>
      <c r="D103" s="8">
        <v>1130</v>
      </c>
      <c r="E103" s="8">
        <v>194</v>
      </c>
      <c r="F103" s="9">
        <f t="shared" si="7"/>
        <v>7.1275837491090517</v>
      </c>
      <c r="G103" s="9" t="s">
        <v>46</v>
      </c>
      <c r="H103" s="18">
        <v>46.348300000000002</v>
      </c>
      <c r="I103" s="18">
        <v>0.33889999999999998</v>
      </c>
      <c r="J103" s="18">
        <v>0.55049999999999999</v>
      </c>
      <c r="K103" s="18">
        <v>4.2500000000000003E-2</v>
      </c>
      <c r="L103" s="18">
        <v>22.067900000000002</v>
      </c>
      <c r="M103" s="18">
        <v>0.40250000000000002</v>
      </c>
      <c r="N103" s="18">
        <v>0.50070000000000003</v>
      </c>
      <c r="O103" s="18">
        <v>6.9800000000000001E-2</v>
      </c>
      <c r="P103" s="18">
        <v>5.944</v>
      </c>
      <c r="Q103" s="18">
        <v>8.0100000000000005E-2</v>
      </c>
      <c r="R103" s="18">
        <v>1.44E-2</v>
      </c>
      <c r="S103" s="18">
        <v>4.1500000000000002E-2</v>
      </c>
      <c r="T103" s="18">
        <v>11.385300000000001</v>
      </c>
      <c r="U103" s="18">
        <v>0.20530000000000001</v>
      </c>
      <c r="V103" s="18">
        <v>0.42570000000000002</v>
      </c>
      <c r="W103" s="18">
        <v>8.3900000000000002E-2</v>
      </c>
      <c r="X103" s="18">
        <v>1.1249</v>
      </c>
      <c r="Y103" s="18">
        <v>7.4099999999999999E-2</v>
      </c>
      <c r="Z103" s="18">
        <v>0.2253</v>
      </c>
      <c r="AA103" s="18">
        <v>4.9200000000000001E-2</v>
      </c>
      <c r="AB103" s="18">
        <v>0.9758</v>
      </c>
      <c r="AC103" s="18">
        <v>0.10589999999999999</v>
      </c>
      <c r="AD103" s="18">
        <f t="shared" si="6"/>
        <v>89.56280000000001</v>
      </c>
    </row>
    <row r="104" spans="1:30" x14ac:dyDescent="0.25">
      <c r="A104" s="2" t="s">
        <v>48</v>
      </c>
      <c r="B104" s="16" t="s">
        <v>229</v>
      </c>
      <c r="C104" s="16">
        <v>4</v>
      </c>
      <c r="D104" s="8">
        <v>1130</v>
      </c>
      <c r="E104" s="8">
        <v>194</v>
      </c>
      <c r="F104" s="9">
        <f t="shared" si="7"/>
        <v>7.1275837491090517</v>
      </c>
      <c r="G104" s="9" t="s">
        <v>46</v>
      </c>
      <c r="H104" s="18">
        <v>46.6173</v>
      </c>
      <c r="I104" s="18">
        <v>0.34029999999999999</v>
      </c>
      <c r="J104" s="18">
        <v>0.5605</v>
      </c>
      <c r="K104" s="18">
        <v>4.3700000000000003E-2</v>
      </c>
      <c r="L104" s="18">
        <v>22.776599999999998</v>
      </c>
      <c r="M104" s="18">
        <v>0.40870000000000001</v>
      </c>
      <c r="N104" s="18">
        <v>0.55549999999999999</v>
      </c>
      <c r="O104" s="18">
        <v>7.0599999999999996E-2</v>
      </c>
      <c r="P104" s="18">
        <v>5.8868</v>
      </c>
      <c r="Q104" s="18">
        <v>7.9899999999999999E-2</v>
      </c>
      <c r="R104" s="18">
        <v>3.3099999999999997E-2</v>
      </c>
      <c r="S104" s="18">
        <v>4.2500000000000003E-2</v>
      </c>
      <c r="T104" s="18">
        <v>11.2004</v>
      </c>
      <c r="U104" s="18">
        <v>0.20319999999999999</v>
      </c>
      <c r="V104" s="18">
        <v>0.41199999999999998</v>
      </c>
      <c r="W104" s="18">
        <v>8.09E-2</v>
      </c>
      <c r="X104" s="18">
        <v>1.2092000000000001</v>
      </c>
      <c r="Y104" s="18">
        <v>7.5800000000000006E-2</v>
      </c>
      <c r="Z104" s="18">
        <v>0.22370000000000001</v>
      </c>
      <c r="AA104" s="18">
        <v>4.8800000000000003E-2</v>
      </c>
      <c r="AB104" s="18">
        <v>0.93879999999999997</v>
      </c>
      <c r="AC104" s="18">
        <v>0.1046</v>
      </c>
      <c r="AD104" s="18">
        <f t="shared" si="6"/>
        <v>90.413899999999984</v>
      </c>
    </row>
    <row r="105" spans="1:30" x14ac:dyDescent="0.25">
      <c r="A105" s="2" t="s">
        <v>48</v>
      </c>
      <c r="B105" s="16" t="s">
        <v>229</v>
      </c>
      <c r="C105" s="16">
        <v>5</v>
      </c>
      <c r="D105" s="8">
        <v>1130</v>
      </c>
      <c r="E105" s="8">
        <v>194</v>
      </c>
      <c r="F105" s="9">
        <f t="shared" si="7"/>
        <v>7.1275837491090517</v>
      </c>
      <c r="G105" s="9" t="s">
        <v>46</v>
      </c>
      <c r="H105" s="18">
        <v>46.059600000000003</v>
      </c>
      <c r="I105" s="18">
        <v>0.33739999999999998</v>
      </c>
      <c r="J105" s="18">
        <v>0.56110000000000004</v>
      </c>
      <c r="K105" s="18">
        <v>4.2799999999999998E-2</v>
      </c>
      <c r="L105" s="18">
        <v>22.1296</v>
      </c>
      <c r="M105" s="18">
        <v>0.4032</v>
      </c>
      <c r="N105" s="18">
        <v>0.5282</v>
      </c>
      <c r="O105" s="18">
        <v>7.2300000000000003E-2</v>
      </c>
      <c r="P105" s="18">
        <v>5.9189999999999996</v>
      </c>
      <c r="Q105" s="18">
        <v>7.9899999999999999E-2</v>
      </c>
      <c r="R105" s="18">
        <v>1.55E-2</v>
      </c>
      <c r="S105" s="18">
        <v>4.0899999999999999E-2</v>
      </c>
      <c r="T105" s="18">
        <v>11.608499999999999</v>
      </c>
      <c r="U105" s="18">
        <v>0.20710000000000001</v>
      </c>
      <c r="V105" s="18">
        <v>0.4501</v>
      </c>
      <c r="W105" s="18">
        <v>8.5300000000000001E-2</v>
      </c>
      <c r="X105" s="18">
        <v>1.1114999999999999</v>
      </c>
      <c r="Y105" s="18">
        <v>7.4200000000000002E-2</v>
      </c>
      <c r="Z105" s="18">
        <v>0.2621</v>
      </c>
      <c r="AA105" s="18">
        <v>4.9200000000000001E-2</v>
      </c>
      <c r="AB105" s="18">
        <v>0.89090000000000003</v>
      </c>
      <c r="AC105" s="18">
        <v>0.1011</v>
      </c>
      <c r="AD105" s="18">
        <f t="shared" si="6"/>
        <v>89.536100000000033</v>
      </c>
    </row>
    <row r="106" spans="1:30" s="19" customFormat="1" x14ac:dyDescent="0.25">
      <c r="A106" s="12" t="s">
        <v>50</v>
      </c>
      <c r="B106" s="13" t="s">
        <v>227</v>
      </c>
      <c r="C106" s="13">
        <v>1</v>
      </c>
      <c r="D106" s="6">
        <v>1200</v>
      </c>
      <c r="E106" s="6">
        <v>94</v>
      </c>
      <c r="F106" s="7">
        <f t="shared" si="0"/>
        <v>6.7888662593346911</v>
      </c>
      <c r="G106" s="7" t="s">
        <v>25</v>
      </c>
      <c r="H106" s="14">
        <v>55.623699999999999</v>
      </c>
      <c r="I106" s="14">
        <v>0.36859999999999998</v>
      </c>
      <c r="J106" s="14">
        <v>0.46539999999999998</v>
      </c>
      <c r="K106" s="14">
        <v>4.1099999999999998E-2</v>
      </c>
      <c r="L106" s="14">
        <v>9.0379000000000005</v>
      </c>
      <c r="M106" s="14">
        <v>0.26119999999999999</v>
      </c>
      <c r="N106" s="14">
        <v>23.680700000000002</v>
      </c>
      <c r="O106" s="14">
        <v>0.42349999999999999</v>
      </c>
      <c r="P106" s="14">
        <v>0.379</v>
      </c>
      <c r="Q106" s="14">
        <v>2.6200000000000001E-2</v>
      </c>
      <c r="R106" s="14">
        <v>0.18740000000000001</v>
      </c>
      <c r="S106" s="14">
        <v>5.6500000000000002E-2</v>
      </c>
      <c r="T106" s="14">
        <v>0.77900000000000003</v>
      </c>
      <c r="U106" s="14">
        <v>5.8000000000000003E-2</v>
      </c>
      <c r="V106" s="14">
        <v>0.49909999999999999</v>
      </c>
      <c r="W106" s="14">
        <v>9.7299999999999998E-2</v>
      </c>
      <c r="X106" s="14">
        <v>4.6323999999999996</v>
      </c>
      <c r="Y106" s="14">
        <v>0.14749999999999999</v>
      </c>
      <c r="Z106" s="14">
        <v>-4.3499999999999997E-2</v>
      </c>
      <c r="AA106" s="14">
        <v>3.5200000000000002E-2</v>
      </c>
      <c r="AB106" s="14">
        <v>1.4869000000000001</v>
      </c>
      <c r="AC106" s="14">
        <v>0.12609999999999999</v>
      </c>
      <c r="AD106" s="15">
        <f t="shared" si="6"/>
        <v>96.728000000000023</v>
      </c>
    </row>
    <row r="107" spans="1:30" s="19" customFormat="1" x14ac:dyDescent="0.25">
      <c r="A107" s="12" t="s">
        <v>50</v>
      </c>
      <c r="B107" s="13" t="s">
        <v>227</v>
      </c>
      <c r="C107" s="13">
        <v>2</v>
      </c>
      <c r="D107" s="6">
        <v>1200</v>
      </c>
      <c r="E107" s="6">
        <v>94</v>
      </c>
      <c r="F107" s="7">
        <f t="shared" si="0"/>
        <v>6.7888662593346911</v>
      </c>
      <c r="G107" s="7" t="s">
        <v>25</v>
      </c>
      <c r="H107" s="14">
        <v>56.136299999999999</v>
      </c>
      <c r="I107" s="14">
        <v>0.371</v>
      </c>
      <c r="J107" s="14">
        <v>0.46160000000000001</v>
      </c>
      <c r="K107" s="14">
        <v>4.1300000000000003E-2</v>
      </c>
      <c r="L107" s="14">
        <v>9.7431999999999999</v>
      </c>
      <c r="M107" s="14">
        <v>0.27110000000000001</v>
      </c>
      <c r="N107" s="14">
        <v>23.431799999999999</v>
      </c>
      <c r="O107" s="14">
        <v>0.42070000000000002</v>
      </c>
      <c r="P107" s="14">
        <v>0.38419999999999999</v>
      </c>
      <c r="Q107" s="14">
        <v>2.6800000000000001E-2</v>
      </c>
      <c r="R107" s="14">
        <v>0.1865</v>
      </c>
      <c r="S107" s="14">
        <v>5.62E-2</v>
      </c>
      <c r="T107" s="14">
        <v>0.78720000000000001</v>
      </c>
      <c r="U107" s="14">
        <v>5.8200000000000002E-2</v>
      </c>
      <c r="V107" s="14">
        <v>0.34820000000000001</v>
      </c>
      <c r="W107" s="14">
        <v>8.5900000000000004E-2</v>
      </c>
      <c r="X107" s="14">
        <v>4.5476000000000001</v>
      </c>
      <c r="Y107" s="14">
        <v>0.14610000000000001</v>
      </c>
      <c r="Z107" s="14">
        <v>-2.0999999999999999E-3</v>
      </c>
      <c r="AA107" s="14">
        <v>3.2099999999999997E-2</v>
      </c>
      <c r="AB107" s="14">
        <v>1.4901</v>
      </c>
      <c r="AC107" s="14">
        <v>0.1273</v>
      </c>
      <c r="AD107" s="15">
        <f t="shared" si="6"/>
        <v>97.514600000000002</v>
      </c>
    </row>
    <row r="108" spans="1:30" s="19" customFormat="1" x14ac:dyDescent="0.25">
      <c r="A108" s="12" t="s">
        <v>50</v>
      </c>
      <c r="B108" s="13" t="s">
        <v>227</v>
      </c>
      <c r="C108" s="13">
        <v>3</v>
      </c>
      <c r="D108" s="6">
        <v>1200</v>
      </c>
      <c r="E108" s="6">
        <v>94</v>
      </c>
      <c r="F108" s="7">
        <f t="shared" si="0"/>
        <v>6.7888662593346911</v>
      </c>
      <c r="G108" s="7" t="s">
        <v>25</v>
      </c>
      <c r="H108" s="14">
        <v>55.669699999999999</v>
      </c>
      <c r="I108" s="14">
        <v>0.36870000000000003</v>
      </c>
      <c r="J108" s="14">
        <v>0.49909999999999999</v>
      </c>
      <c r="K108" s="14">
        <v>4.1700000000000001E-2</v>
      </c>
      <c r="L108" s="14">
        <v>9.1728000000000005</v>
      </c>
      <c r="M108" s="14">
        <v>0.26269999999999999</v>
      </c>
      <c r="N108" s="14">
        <v>23.117899999999999</v>
      </c>
      <c r="O108" s="14">
        <v>0.41799999999999998</v>
      </c>
      <c r="P108" s="14">
        <v>0.37419999999999998</v>
      </c>
      <c r="Q108" s="14">
        <v>2.6700000000000002E-2</v>
      </c>
      <c r="R108" s="14">
        <v>0.19289999999999999</v>
      </c>
      <c r="S108" s="14">
        <v>5.5899999999999998E-2</v>
      </c>
      <c r="T108" s="14">
        <v>0.77990000000000004</v>
      </c>
      <c r="U108" s="14">
        <v>5.8000000000000003E-2</v>
      </c>
      <c r="V108" s="14">
        <v>0.38850000000000001</v>
      </c>
      <c r="W108" s="14">
        <v>9.0300000000000005E-2</v>
      </c>
      <c r="X108" s="14">
        <v>4.6196000000000002</v>
      </c>
      <c r="Y108" s="14">
        <v>0.1472</v>
      </c>
      <c r="Z108" s="14">
        <v>-1.52E-2</v>
      </c>
      <c r="AA108" s="14">
        <v>3.4099999999999998E-2</v>
      </c>
      <c r="AB108" s="14">
        <v>1.4835</v>
      </c>
      <c r="AC108" s="14">
        <v>0.1241</v>
      </c>
      <c r="AD108" s="15">
        <f t="shared" si="6"/>
        <v>96.282899999999998</v>
      </c>
    </row>
    <row r="109" spans="1:30" s="19" customFormat="1" x14ac:dyDescent="0.25">
      <c r="A109" s="12" t="s">
        <v>50</v>
      </c>
      <c r="B109" s="13" t="s">
        <v>227</v>
      </c>
      <c r="C109" s="13">
        <v>4</v>
      </c>
      <c r="D109" s="6">
        <v>1200</v>
      </c>
      <c r="E109" s="6">
        <v>94</v>
      </c>
      <c r="F109" s="7">
        <f t="shared" si="0"/>
        <v>6.7888662593346911</v>
      </c>
      <c r="G109" s="7" t="s">
        <v>25</v>
      </c>
      <c r="H109" s="14">
        <v>56.061300000000003</v>
      </c>
      <c r="I109" s="14">
        <v>0.37059999999999998</v>
      </c>
      <c r="J109" s="14">
        <v>0.4909</v>
      </c>
      <c r="K109" s="14">
        <v>4.1200000000000001E-2</v>
      </c>
      <c r="L109" s="14">
        <v>9.2014999999999993</v>
      </c>
      <c r="M109" s="14">
        <v>0.26340000000000002</v>
      </c>
      <c r="N109" s="14">
        <v>23.599499999999999</v>
      </c>
      <c r="O109" s="14">
        <v>0.42259999999999998</v>
      </c>
      <c r="P109" s="14">
        <v>0.37259999999999999</v>
      </c>
      <c r="Q109" s="14">
        <v>2.6599999999999999E-2</v>
      </c>
      <c r="R109" s="14">
        <v>0.17380000000000001</v>
      </c>
      <c r="S109" s="14">
        <v>5.5E-2</v>
      </c>
      <c r="T109" s="14">
        <v>0.74850000000000005</v>
      </c>
      <c r="U109" s="14">
        <v>5.7500000000000002E-2</v>
      </c>
      <c r="V109" s="14">
        <v>0.51829999999999998</v>
      </c>
      <c r="W109" s="14">
        <v>0.1008</v>
      </c>
      <c r="X109" s="14">
        <v>4.6134000000000004</v>
      </c>
      <c r="Y109" s="14">
        <v>0.1469</v>
      </c>
      <c r="Z109" s="14">
        <v>-1.3100000000000001E-2</v>
      </c>
      <c r="AA109" s="14">
        <v>3.5200000000000002E-2</v>
      </c>
      <c r="AB109" s="14">
        <v>1.5270999999999999</v>
      </c>
      <c r="AC109" s="14">
        <v>0.12809999999999999</v>
      </c>
      <c r="AD109" s="15">
        <f t="shared" si="6"/>
        <v>97.293800000000033</v>
      </c>
    </row>
    <row r="110" spans="1:30" s="19" customFormat="1" x14ac:dyDescent="0.25">
      <c r="A110" s="12" t="s">
        <v>50</v>
      </c>
      <c r="B110" s="13" t="s">
        <v>227</v>
      </c>
      <c r="C110" s="13">
        <v>5</v>
      </c>
      <c r="D110" s="6">
        <v>1200</v>
      </c>
      <c r="E110" s="6">
        <v>94</v>
      </c>
      <c r="F110" s="7">
        <f t="shared" si="0"/>
        <v>6.7888662593346911</v>
      </c>
      <c r="G110" s="7" t="s">
        <v>25</v>
      </c>
      <c r="H110" s="14">
        <v>55.8752</v>
      </c>
      <c r="I110" s="14">
        <v>0.36969999999999997</v>
      </c>
      <c r="J110" s="14">
        <v>0.50219999999999998</v>
      </c>
      <c r="K110" s="14">
        <v>4.2099999999999999E-2</v>
      </c>
      <c r="L110" s="14">
        <v>9.3064999999999998</v>
      </c>
      <c r="M110" s="14">
        <v>0.2651</v>
      </c>
      <c r="N110" s="14">
        <v>23.433199999999999</v>
      </c>
      <c r="O110" s="14">
        <v>0.41980000000000001</v>
      </c>
      <c r="P110" s="14">
        <v>0.37730000000000002</v>
      </c>
      <c r="Q110" s="14">
        <v>2.5999999999999999E-2</v>
      </c>
      <c r="R110" s="14">
        <v>0.24129999999999999</v>
      </c>
      <c r="S110" s="14">
        <v>5.5899999999999998E-2</v>
      </c>
      <c r="T110" s="14">
        <v>0.74570000000000003</v>
      </c>
      <c r="U110" s="14">
        <v>5.7799999999999997E-2</v>
      </c>
      <c r="V110" s="14">
        <v>0.32979999999999998</v>
      </c>
      <c r="W110" s="14">
        <v>8.6999999999999994E-2</v>
      </c>
      <c r="X110" s="14">
        <v>4.6756000000000002</v>
      </c>
      <c r="Y110" s="14">
        <v>0.14799999999999999</v>
      </c>
      <c r="Z110" s="14">
        <v>-3.7000000000000002E-3</v>
      </c>
      <c r="AA110" s="14">
        <v>3.2899999999999999E-2</v>
      </c>
      <c r="AB110" s="14">
        <v>1.5489999999999999</v>
      </c>
      <c r="AC110" s="14">
        <v>0.12909999999999999</v>
      </c>
      <c r="AD110" s="15">
        <f t="shared" si="6"/>
        <v>97.032100000000014</v>
      </c>
    </row>
    <row r="111" spans="1:30" s="64" customFormat="1" x14ac:dyDescent="0.25">
      <c r="A111" s="59" t="s">
        <v>51</v>
      </c>
      <c r="B111" s="60" t="s">
        <v>228</v>
      </c>
      <c r="C111" s="60">
        <v>1</v>
      </c>
      <c r="D111" s="61">
        <v>1200</v>
      </c>
      <c r="E111" s="61">
        <v>94</v>
      </c>
      <c r="F111" s="62">
        <f t="shared" si="0"/>
        <v>6.7888662593346911</v>
      </c>
      <c r="G111" s="62" t="s">
        <v>25</v>
      </c>
      <c r="H111" s="63">
        <v>36.758899999999997</v>
      </c>
      <c r="I111" s="63">
        <v>0.27779999999999999</v>
      </c>
      <c r="J111" s="63">
        <v>1.7378</v>
      </c>
      <c r="K111" s="63">
        <v>6.3799999999999996E-2</v>
      </c>
      <c r="L111" s="63">
        <v>8.8271999999999995</v>
      </c>
      <c r="M111" s="63">
        <v>0.26600000000000001</v>
      </c>
      <c r="N111" s="63">
        <v>32.616599999999998</v>
      </c>
      <c r="O111" s="63">
        <v>0.51449999999999996</v>
      </c>
      <c r="P111" s="63">
        <v>2.0680000000000001</v>
      </c>
      <c r="Q111" s="63">
        <v>5.3999999999999999E-2</v>
      </c>
      <c r="R111" s="63">
        <v>0.26889999999999997</v>
      </c>
      <c r="S111" s="63">
        <v>6.0199999999999997E-2</v>
      </c>
      <c r="T111" s="63">
        <v>6.2530999999999999</v>
      </c>
      <c r="U111" s="63">
        <v>0.14710000000000001</v>
      </c>
      <c r="V111" s="63">
        <v>1.4075</v>
      </c>
      <c r="W111" s="63">
        <v>0.1646</v>
      </c>
      <c r="X111" s="63">
        <v>1.0461</v>
      </c>
      <c r="Y111" s="63">
        <v>7.17E-2</v>
      </c>
      <c r="Z111" s="63">
        <v>0.31380000000000002</v>
      </c>
      <c r="AA111" s="63">
        <v>5.6899999999999999E-2</v>
      </c>
      <c r="AB111" s="63">
        <v>4.0829000000000004</v>
      </c>
      <c r="AC111" s="63">
        <v>0.1953</v>
      </c>
      <c r="AD111" s="63">
        <f t="shared" si="6"/>
        <v>95.380799999999979</v>
      </c>
    </row>
    <row r="112" spans="1:30" s="64" customFormat="1" x14ac:dyDescent="0.25">
      <c r="A112" s="59" t="s">
        <v>51</v>
      </c>
      <c r="B112" s="60" t="s">
        <v>228</v>
      </c>
      <c r="C112" s="60">
        <v>2</v>
      </c>
      <c r="D112" s="61">
        <v>1200</v>
      </c>
      <c r="E112" s="61">
        <v>94</v>
      </c>
      <c r="F112" s="62">
        <f t="shared" si="0"/>
        <v>6.7888662593346911</v>
      </c>
      <c r="G112" s="62" t="s">
        <v>25</v>
      </c>
      <c r="H112" s="63">
        <v>36.8399</v>
      </c>
      <c r="I112" s="63">
        <v>0.27800000000000002</v>
      </c>
      <c r="J112" s="63">
        <v>1.7251000000000001</v>
      </c>
      <c r="K112" s="63">
        <v>6.3799999999999996E-2</v>
      </c>
      <c r="L112" s="63">
        <v>8.9937000000000005</v>
      </c>
      <c r="M112" s="63">
        <v>0.26800000000000002</v>
      </c>
      <c r="N112" s="63">
        <v>32.280500000000004</v>
      </c>
      <c r="O112" s="63">
        <v>0.51129999999999998</v>
      </c>
      <c r="P112" s="63">
        <v>2.0581999999999998</v>
      </c>
      <c r="Q112" s="63">
        <v>5.4199999999999998E-2</v>
      </c>
      <c r="R112" s="63">
        <v>0.312</v>
      </c>
      <c r="S112" s="63">
        <v>6.1499999999999999E-2</v>
      </c>
      <c r="T112" s="63">
        <v>6.1947000000000001</v>
      </c>
      <c r="U112" s="63">
        <v>0.14649999999999999</v>
      </c>
      <c r="V112" s="63">
        <v>1.3812</v>
      </c>
      <c r="W112" s="63">
        <v>0.16270000000000001</v>
      </c>
      <c r="X112" s="63">
        <v>1.0954999999999999</v>
      </c>
      <c r="Y112" s="63">
        <v>7.2700000000000001E-2</v>
      </c>
      <c r="Z112" s="63">
        <v>0.28349999999999997</v>
      </c>
      <c r="AA112" s="63">
        <v>5.3900000000000003E-2</v>
      </c>
      <c r="AB112" s="63">
        <v>4.1121999999999996</v>
      </c>
      <c r="AC112" s="63">
        <v>0.19450000000000001</v>
      </c>
      <c r="AD112" s="63">
        <f t="shared" si="6"/>
        <v>95.276500000000013</v>
      </c>
    </row>
    <row r="113" spans="1:30" s="64" customFormat="1" x14ac:dyDescent="0.25">
      <c r="A113" s="59" t="s">
        <v>51</v>
      </c>
      <c r="B113" s="60" t="s">
        <v>228</v>
      </c>
      <c r="C113" s="60">
        <v>3</v>
      </c>
      <c r="D113" s="61">
        <v>1200</v>
      </c>
      <c r="E113" s="61">
        <v>94</v>
      </c>
      <c r="F113" s="62">
        <f t="shared" si="0"/>
        <v>6.7888662593346911</v>
      </c>
      <c r="G113" s="62" t="s">
        <v>25</v>
      </c>
      <c r="H113" s="63">
        <v>36.932899999999997</v>
      </c>
      <c r="I113" s="63">
        <v>0.27860000000000001</v>
      </c>
      <c r="J113" s="63">
        <v>1.6976</v>
      </c>
      <c r="K113" s="63">
        <v>6.3100000000000003E-2</v>
      </c>
      <c r="L113" s="63">
        <v>8.7462999999999997</v>
      </c>
      <c r="M113" s="63">
        <v>0.26469999999999999</v>
      </c>
      <c r="N113" s="63">
        <v>32.601999999999997</v>
      </c>
      <c r="O113" s="63">
        <v>0.51429999999999998</v>
      </c>
      <c r="P113" s="63">
        <v>2.0871</v>
      </c>
      <c r="Q113" s="63">
        <v>5.4300000000000001E-2</v>
      </c>
      <c r="R113" s="63">
        <v>0.26690000000000003</v>
      </c>
      <c r="S113" s="63">
        <v>5.8700000000000002E-2</v>
      </c>
      <c r="T113" s="63">
        <v>6.3285</v>
      </c>
      <c r="U113" s="63">
        <v>0.14799999999999999</v>
      </c>
      <c r="V113" s="63">
        <v>1.4950000000000001</v>
      </c>
      <c r="W113" s="63">
        <v>0.16719999999999999</v>
      </c>
      <c r="X113" s="63">
        <v>1.0627</v>
      </c>
      <c r="Y113" s="63">
        <v>7.1199999999999999E-2</v>
      </c>
      <c r="Z113" s="63">
        <v>0.2631</v>
      </c>
      <c r="AA113" s="63">
        <v>5.3199999999999997E-2</v>
      </c>
      <c r="AB113" s="63">
        <v>4.1036000000000001</v>
      </c>
      <c r="AC113" s="63">
        <v>0.19370000000000001</v>
      </c>
      <c r="AD113" s="63">
        <f t="shared" si="6"/>
        <v>95.585700000000017</v>
      </c>
    </row>
    <row r="114" spans="1:30" s="64" customFormat="1" x14ac:dyDescent="0.25">
      <c r="A114" s="59" t="s">
        <v>51</v>
      </c>
      <c r="B114" s="60" t="s">
        <v>228</v>
      </c>
      <c r="C114" s="60">
        <v>4</v>
      </c>
      <c r="D114" s="61">
        <v>1200</v>
      </c>
      <c r="E114" s="61">
        <v>94</v>
      </c>
      <c r="F114" s="62">
        <f t="shared" si="0"/>
        <v>6.7888662593346911</v>
      </c>
      <c r="G114" s="62" t="s">
        <v>25</v>
      </c>
      <c r="H114" s="63">
        <v>37.001600000000003</v>
      </c>
      <c r="I114" s="63">
        <v>0.27879999999999999</v>
      </c>
      <c r="J114" s="63">
        <v>1.7546999999999999</v>
      </c>
      <c r="K114" s="63">
        <v>6.4500000000000002E-2</v>
      </c>
      <c r="L114" s="63">
        <v>8.9065999999999992</v>
      </c>
      <c r="M114" s="63">
        <v>0.26650000000000001</v>
      </c>
      <c r="N114" s="63">
        <v>32.17</v>
      </c>
      <c r="O114" s="63">
        <v>0.51060000000000005</v>
      </c>
      <c r="P114" s="63">
        <v>2.0735999999999999</v>
      </c>
      <c r="Q114" s="63">
        <v>5.3900000000000003E-2</v>
      </c>
      <c r="R114" s="63">
        <v>0.3236</v>
      </c>
      <c r="S114" s="63">
        <v>6.0699999999999997E-2</v>
      </c>
      <c r="T114" s="63">
        <v>6.2831999999999999</v>
      </c>
      <c r="U114" s="63">
        <v>0.1474</v>
      </c>
      <c r="V114" s="63">
        <v>1.4504999999999999</v>
      </c>
      <c r="W114" s="63">
        <v>0.1663</v>
      </c>
      <c r="X114" s="63">
        <v>1.0331999999999999</v>
      </c>
      <c r="Y114" s="63">
        <v>7.0599999999999996E-2</v>
      </c>
      <c r="Z114" s="63">
        <v>0.27160000000000001</v>
      </c>
      <c r="AA114" s="63">
        <v>5.3100000000000001E-2</v>
      </c>
      <c r="AB114" s="63">
        <v>4.2138999999999998</v>
      </c>
      <c r="AC114" s="63">
        <v>0.1961</v>
      </c>
      <c r="AD114" s="63">
        <f t="shared" si="6"/>
        <v>95.482499999999987</v>
      </c>
    </row>
    <row r="115" spans="1:30" s="64" customFormat="1" x14ac:dyDescent="0.25">
      <c r="A115" s="59" t="s">
        <v>51</v>
      </c>
      <c r="B115" s="60" t="s">
        <v>228</v>
      </c>
      <c r="C115" s="60">
        <v>5</v>
      </c>
      <c r="D115" s="61">
        <v>1200</v>
      </c>
      <c r="E115" s="61">
        <v>94</v>
      </c>
      <c r="F115" s="62">
        <f t="shared" si="0"/>
        <v>6.7888662593346911</v>
      </c>
      <c r="G115" s="62" t="s">
        <v>25</v>
      </c>
      <c r="H115" s="63">
        <v>36.875100000000003</v>
      </c>
      <c r="I115" s="63">
        <v>0.27850000000000003</v>
      </c>
      <c r="J115" s="63">
        <v>1.7155</v>
      </c>
      <c r="K115" s="63">
        <v>6.4199999999999993E-2</v>
      </c>
      <c r="L115" s="63">
        <v>8.6105999999999998</v>
      </c>
      <c r="M115" s="63">
        <v>0.26269999999999999</v>
      </c>
      <c r="N115" s="63">
        <v>32.195799999999998</v>
      </c>
      <c r="O115" s="63">
        <v>0.51100000000000001</v>
      </c>
      <c r="P115" s="63">
        <v>2.0457000000000001</v>
      </c>
      <c r="Q115" s="63">
        <v>5.4100000000000002E-2</v>
      </c>
      <c r="R115" s="63">
        <v>0.2651</v>
      </c>
      <c r="S115" s="63">
        <v>6.1499999999999999E-2</v>
      </c>
      <c r="T115" s="63">
        <v>6.2812000000000001</v>
      </c>
      <c r="U115" s="63">
        <v>0.14749999999999999</v>
      </c>
      <c r="V115" s="63">
        <v>1.425</v>
      </c>
      <c r="W115" s="63">
        <v>0.16489999999999999</v>
      </c>
      <c r="X115" s="63">
        <v>1.0688</v>
      </c>
      <c r="Y115" s="63">
        <v>7.1800000000000003E-2</v>
      </c>
      <c r="Z115" s="63">
        <v>0.31209999999999999</v>
      </c>
      <c r="AA115" s="63">
        <v>5.4800000000000001E-2</v>
      </c>
      <c r="AB115" s="63">
        <v>4.0171999999999999</v>
      </c>
      <c r="AC115" s="63">
        <v>0.191</v>
      </c>
      <c r="AD115" s="63">
        <f t="shared" si="6"/>
        <v>94.812099999999987</v>
      </c>
    </row>
    <row r="116" spans="1:30" s="19" customFormat="1" x14ac:dyDescent="0.25">
      <c r="A116" s="12" t="s">
        <v>52</v>
      </c>
      <c r="B116" s="13" t="s">
        <v>226</v>
      </c>
      <c r="C116" s="13">
        <v>1</v>
      </c>
      <c r="D116" s="6">
        <v>1200</v>
      </c>
      <c r="E116" s="6">
        <v>94</v>
      </c>
      <c r="F116" s="7">
        <f t="shared" si="0"/>
        <v>6.7888662593346911</v>
      </c>
      <c r="G116" s="7" t="s">
        <v>25</v>
      </c>
      <c r="H116" s="14">
        <v>47.966999999999999</v>
      </c>
      <c r="I116" s="14">
        <v>0.33300000000000002</v>
      </c>
      <c r="J116" s="14">
        <v>0.40279999999999999</v>
      </c>
      <c r="K116" s="14">
        <v>3.9699999999999999E-2</v>
      </c>
      <c r="L116" s="14">
        <v>12.675800000000001</v>
      </c>
      <c r="M116" s="14">
        <v>0.31180000000000002</v>
      </c>
      <c r="N116" s="14">
        <v>22.275600000000001</v>
      </c>
      <c r="O116" s="14">
        <v>0.4078</v>
      </c>
      <c r="P116" s="14">
        <v>2.6219000000000001</v>
      </c>
      <c r="Q116" s="14">
        <v>5.7799999999999997E-2</v>
      </c>
      <c r="R116" s="14">
        <v>0.27</v>
      </c>
      <c r="S116" s="14">
        <v>5.8000000000000003E-2</v>
      </c>
      <c r="T116" s="14">
        <v>3.218</v>
      </c>
      <c r="U116" s="14">
        <v>0.10780000000000001</v>
      </c>
      <c r="V116" s="14">
        <v>1.3154999999999999</v>
      </c>
      <c r="W116" s="14">
        <v>0.1502</v>
      </c>
      <c r="X116" s="14">
        <v>4.4782000000000002</v>
      </c>
      <c r="Y116" s="14">
        <v>0.14419999999999999</v>
      </c>
      <c r="Z116" s="14">
        <v>5.5500000000000001E-2</v>
      </c>
      <c r="AA116" s="14">
        <v>3.2500000000000001E-2</v>
      </c>
      <c r="AB116" s="14">
        <v>2.2967</v>
      </c>
      <c r="AC116" s="14">
        <v>0.15</v>
      </c>
      <c r="AD116" s="15">
        <f t="shared" si="6"/>
        <v>97.576999999999998</v>
      </c>
    </row>
    <row r="117" spans="1:30" s="19" customFormat="1" x14ac:dyDescent="0.25">
      <c r="A117" s="12" t="s">
        <v>52</v>
      </c>
      <c r="B117" s="13" t="s">
        <v>226</v>
      </c>
      <c r="C117" s="13">
        <v>2</v>
      </c>
      <c r="D117" s="6">
        <v>1200</v>
      </c>
      <c r="E117" s="6">
        <v>94</v>
      </c>
      <c r="F117" s="7">
        <f t="shared" si="0"/>
        <v>6.7888662593346911</v>
      </c>
      <c r="G117" s="7" t="s">
        <v>25</v>
      </c>
      <c r="H117" s="14">
        <v>48.168799999999997</v>
      </c>
      <c r="I117" s="14">
        <v>0.33400000000000002</v>
      </c>
      <c r="J117" s="14">
        <v>0.41909999999999997</v>
      </c>
      <c r="K117" s="14">
        <v>3.9899999999999998E-2</v>
      </c>
      <c r="L117" s="14">
        <v>12.7142</v>
      </c>
      <c r="M117" s="14">
        <v>0.31190000000000001</v>
      </c>
      <c r="N117" s="14">
        <v>22.174600000000002</v>
      </c>
      <c r="O117" s="14">
        <v>0.40749999999999997</v>
      </c>
      <c r="P117" s="14">
        <v>2.5274999999999999</v>
      </c>
      <c r="Q117" s="14">
        <v>5.7000000000000002E-2</v>
      </c>
      <c r="R117" s="14">
        <v>0.22689999999999999</v>
      </c>
      <c r="S117" s="14">
        <v>5.5899999999999998E-2</v>
      </c>
      <c r="T117" s="14">
        <v>3.1749999999999998</v>
      </c>
      <c r="U117" s="14">
        <v>0.1067</v>
      </c>
      <c r="V117" s="14">
        <v>1.3804000000000001</v>
      </c>
      <c r="W117" s="14">
        <v>0.1535</v>
      </c>
      <c r="X117" s="14">
        <v>4.6040999999999999</v>
      </c>
      <c r="Y117" s="14">
        <v>0.14680000000000001</v>
      </c>
      <c r="Z117" s="14">
        <v>4.2000000000000003E-2</v>
      </c>
      <c r="AA117" s="14">
        <v>3.7600000000000001E-2</v>
      </c>
      <c r="AB117" s="14">
        <v>2.3332999999999999</v>
      </c>
      <c r="AC117" s="14">
        <v>0.1502</v>
      </c>
      <c r="AD117" s="15">
        <f t="shared" si="6"/>
        <v>97.765899999999988</v>
      </c>
    </row>
    <row r="118" spans="1:30" s="19" customFormat="1" x14ac:dyDescent="0.25">
      <c r="A118" s="12" t="s">
        <v>52</v>
      </c>
      <c r="B118" s="13" t="s">
        <v>226</v>
      </c>
      <c r="C118" s="13">
        <v>3</v>
      </c>
      <c r="D118" s="6">
        <v>1200</v>
      </c>
      <c r="E118" s="6">
        <v>94</v>
      </c>
      <c r="F118" s="7">
        <f t="shared" si="0"/>
        <v>6.7888662593346911</v>
      </c>
      <c r="G118" s="7" t="s">
        <v>25</v>
      </c>
      <c r="H118" s="14">
        <v>48.301699999999997</v>
      </c>
      <c r="I118" s="14">
        <v>0.33439999999999998</v>
      </c>
      <c r="J118" s="14">
        <v>0.38150000000000001</v>
      </c>
      <c r="K118" s="14">
        <v>3.9E-2</v>
      </c>
      <c r="L118" s="14">
        <v>12.7599</v>
      </c>
      <c r="M118" s="14">
        <v>0.31219999999999998</v>
      </c>
      <c r="N118" s="14">
        <v>22.387499999999999</v>
      </c>
      <c r="O118" s="14">
        <v>0.40870000000000001</v>
      </c>
      <c r="P118" s="14">
        <v>2.4910000000000001</v>
      </c>
      <c r="Q118" s="14">
        <v>5.6599999999999998E-2</v>
      </c>
      <c r="R118" s="14">
        <v>0.2477</v>
      </c>
      <c r="S118" s="14">
        <v>5.7000000000000002E-2</v>
      </c>
      <c r="T118" s="14">
        <v>3.1315</v>
      </c>
      <c r="U118" s="14">
        <v>0.10680000000000001</v>
      </c>
      <c r="V118" s="14">
        <v>1.2952999999999999</v>
      </c>
      <c r="W118" s="14">
        <v>0.1487</v>
      </c>
      <c r="X118" s="14">
        <v>4.6867999999999999</v>
      </c>
      <c r="Y118" s="14">
        <v>0.1479</v>
      </c>
      <c r="Z118" s="14">
        <v>2.8500000000000001E-2</v>
      </c>
      <c r="AA118" s="14">
        <v>3.3599999999999998E-2</v>
      </c>
      <c r="AB118" s="14">
        <v>2.3664999999999998</v>
      </c>
      <c r="AC118" s="14">
        <v>0.1532</v>
      </c>
      <c r="AD118" s="15">
        <f t="shared" si="6"/>
        <v>98.0779</v>
      </c>
    </row>
    <row r="119" spans="1:30" s="19" customFormat="1" x14ac:dyDescent="0.25">
      <c r="A119" s="12" t="s">
        <v>52</v>
      </c>
      <c r="B119" s="13" t="s">
        <v>226</v>
      </c>
      <c r="C119" s="13">
        <v>4</v>
      </c>
      <c r="D119" s="6">
        <v>1200</v>
      </c>
      <c r="E119" s="6">
        <v>94</v>
      </c>
      <c r="F119" s="7">
        <f t="shared" si="0"/>
        <v>6.7888662593346911</v>
      </c>
      <c r="G119" s="7" t="s">
        <v>25</v>
      </c>
      <c r="H119" s="14">
        <v>48.579900000000002</v>
      </c>
      <c r="I119" s="14">
        <v>0.33579999999999999</v>
      </c>
      <c r="J119" s="14">
        <v>0.41870000000000002</v>
      </c>
      <c r="K119" s="14">
        <v>4.0099999999999997E-2</v>
      </c>
      <c r="L119" s="14">
        <v>12.255000000000001</v>
      </c>
      <c r="M119" s="14">
        <v>0.30620000000000003</v>
      </c>
      <c r="N119" s="14">
        <v>22.317699999999999</v>
      </c>
      <c r="O119" s="14">
        <v>0.4088</v>
      </c>
      <c r="P119" s="14">
        <v>2.5192999999999999</v>
      </c>
      <c r="Q119" s="14">
        <v>5.67E-2</v>
      </c>
      <c r="R119" s="14">
        <v>0.21740000000000001</v>
      </c>
      <c r="S119" s="14">
        <v>5.8299999999999998E-2</v>
      </c>
      <c r="T119" s="14">
        <v>3.2703000000000002</v>
      </c>
      <c r="U119" s="14">
        <v>0.10920000000000001</v>
      </c>
      <c r="V119" s="14">
        <v>1.2988</v>
      </c>
      <c r="W119" s="14">
        <v>0.15060000000000001</v>
      </c>
      <c r="X119" s="14">
        <v>4.7248999999999999</v>
      </c>
      <c r="Y119" s="14">
        <v>0.14829999999999999</v>
      </c>
      <c r="Z119" s="14">
        <v>4.9799999999999997E-2</v>
      </c>
      <c r="AA119" s="14">
        <v>3.2300000000000002E-2</v>
      </c>
      <c r="AB119" s="14">
        <v>2.4355000000000002</v>
      </c>
      <c r="AC119" s="14">
        <v>0.15329999999999999</v>
      </c>
      <c r="AD119" s="15">
        <f t="shared" si="6"/>
        <v>98.087300000000027</v>
      </c>
    </row>
    <row r="120" spans="1:30" s="19" customFormat="1" x14ac:dyDescent="0.25">
      <c r="A120" s="12" t="s">
        <v>52</v>
      </c>
      <c r="B120" s="13" t="s">
        <v>226</v>
      </c>
      <c r="C120" s="13">
        <v>5</v>
      </c>
      <c r="D120" s="6">
        <v>1200</v>
      </c>
      <c r="E120" s="6">
        <v>94</v>
      </c>
      <c r="F120" s="7">
        <f t="shared" si="0"/>
        <v>6.7888662593346911</v>
      </c>
      <c r="G120" s="7" t="s">
        <v>25</v>
      </c>
      <c r="H120" s="14">
        <v>48.532800000000002</v>
      </c>
      <c r="I120" s="14">
        <v>0.33550000000000002</v>
      </c>
      <c r="J120" s="14">
        <v>0.4108</v>
      </c>
      <c r="K120" s="14">
        <v>0.04</v>
      </c>
      <c r="L120" s="14">
        <v>12.4918</v>
      </c>
      <c r="M120" s="14">
        <v>0.30880000000000002</v>
      </c>
      <c r="N120" s="14">
        <v>22.374400000000001</v>
      </c>
      <c r="O120" s="14">
        <v>0.40839999999999999</v>
      </c>
      <c r="P120" s="14">
        <v>2.4708999999999999</v>
      </c>
      <c r="Q120" s="14">
        <v>5.6099999999999997E-2</v>
      </c>
      <c r="R120" s="14">
        <v>0.26129999999999998</v>
      </c>
      <c r="S120" s="14">
        <v>5.8299999999999998E-2</v>
      </c>
      <c r="T120" s="14">
        <v>3.1212</v>
      </c>
      <c r="U120" s="14">
        <v>0.1061</v>
      </c>
      <c r="V120" s="14">
        <v>1.2896000000000001</v>
      </c>
      <c r="W120" s="14">
        <v>0.14899999999999999</v>
      </c>
      <c r="X120" s="14">
        <v>4.6429999999999998</v>
      </c>
      <c r="Y120" s="14">
        <v>0.14680000000000001</v>
      </c>
      <c r="Z120" s="14">
        <v>2.64E-2</v>
      </c>
      <c r="AA120" s="14">
        <v>3.5099999999999999E-2</v>
      </c>
      <c r="AB120" s="14">
        <v>2.3170000000000002</v>
      </c>
      <c r="AC120" s="14">
        <v>0.14960000000000001</v>
      </c>
      <c r="AD120" s="15">
        <f t="shared" si="6"/>
        <v>97.9392</v>
      </c>
    </row>
    <row r="121" spans="1:30" s="64" customFormat="1" x14ac:dyDescent="0.25">
      <c r="A121" s="59" t="s">
        <v>53</v>
      </c>
      <c r="B121" s="60">
        <v>15386</v>
      </c>
      <c r="C121" s="60">
        <v>1</v>
      </c>
      <c r="D121" s="61">
        <v>1200</v>
      </c>
      <c r="E121" s="61">
        <v>96</v>
      </c>
      <c r="F121" s="62">
        <f t="shared" si="0"/>
        <v>6.7888662593346911</v>
      </c>
      <c r="G121" s="62" t="s">
        <v>27</v>
      </c>
      <c r="H121" s="63">
        <v>44.9985</v>
      </c>
      <c r="I121" s="63">
        <v>0.33090000000000003</v>
      </c>
      <c r="J121" s="63">
        <v>1.9706999999999999</v>
      </c>
      <c r="K121" s="63">
        <v>6.8500000000000005E-2</v>
      </c>
      <c r="L121" s="63">
        <v>14.445399999999999</v>
      </c>
      <c r="M121" s="63">
        <v>0.33129999999999998</v>
      </c>
      <c r="N121" s="63">
        <v>7.3087999999999997</v>
      </c>
      <c r="O121" s="63">
        <v>0.22140000000000001</v>
      </c>
      <c r="P121" s="63">
        <v>7.8692000000000002</v>
      </c>
      <c r="Q121" s="63">
        <v>9.4899999999999998E-2</v>
      </c>
      <c r="R121" s="63">
        <v>2.07E-2</v>
      </c>
      <c r="S121" s="63">
        <v>4.3900000000000002E-2</v>
      </c>
      <c r="T121" s="63">
        <v>9.0123999999999995</v>
      </c>
      <c r="U121" s="63">
        <v>0.1807</v>
      </c>
      <c r="V121" s="63">
        <v>1.2884</v>
      </c>
      <c r="W121" s="63">
        <v>0.13950000000000001</v>
      </c>
      <c r="X121" s="63">
        <v>0.67</v>
      </c>
      <c r="Y121" s="63">
        <v>5.8500000000000003E-2</v>
      </c>
      <c r="Z121" s="63">
        <v>0.60289999999999999</v>
      </c>
      <c r="AA121" s="63">
        <v>6.9900000000000004E-2</v>
      </c>
      <c r="AB121" s="63">
        <v>2.2416999999999998</v>
      </c>
      <c r="AC121" s="63">
        <v>0.15010000000000001</v>
      </c>
      <c r="AD121" s="63">
        <f t="shared" si="6"/>
        <v>90.428700000000006</v>
      </c>
    </row>
    <row r="122" spans="1:30" s="64" customFormat="1" x14ac:dyDescent="0.25">
      <c r="A122" s="59" t="s">
        <v>53</v>
      </c>
      <c r="B122" s="60">
        <v>15386</v>
      </c>
      <c r="C122" s="60">
        <v>2</v>
      </c>
      <c r="D122" s="61">
        <v>1200</v>
      </c>
      <c r="E122" s="61">
        <v>96</v>
      </c>
      <c r="F122" s="62">
        <f t="shared" si="0"/>
        <v>6.7888662593346911</v>
      </c>
      <c r="G122" s="62" t="s">
        <v>27</v>
      </c>
      <c r="H122" s="63">
        <v>45.1096</v>
      </c>
      <c r="I122" s="63">
        <v>0.33160000000000001</v>
      </c>
      <c r="J122" s="63">
        <v>1.9807999999999999</v>
      </c>
      <c r="K122" s="63">
        <v>6.83E-2</v>
      </c>
      <c r="L122" s="63">
        <v>14.6487</v>
      </c>
      <c r="M122" s="63">
        <v>0.33329999999999999</v>
      </c>
      <c r="N122" s="63">
        <v>7.3680000000000003</v>
      </c>
      <c r="O122" s="63">
        <v>0.221</v>
      </c>
      <c r="P122" s="63">
        <v>7.9015000000000004</v>
      </c>
      <c r="Q122" s="63">
        <v>9.4899999999999998E-2</v>
      </c>
      <c r="R122" s="63">
        <v>3.8100000000000002E-2</v>
      </c>
      <c r="S122" s="63">
        <v>4.5699999999999998E-2</v>
      </c>
      <c r="T122" s="63">
        <v>9.1678999999999995</v>
      </c>
      <c r="U122" s="63">
        <v>0.18229999999999999</v>
      </c>
      <c r="V122" s="63">
        <v>1.409</v>
      </c>
      <c r="W122" s="63">
        <v>0.1467</v>
      </c>
      <c r="X122" s="63">
        <v>0.65110000000000001</v>
      </c>
      <c r="Y122" s="63">
        <v>5.8299999999999998E-2</v>
      </c>
      <c r="Z122" s="63">
        <v>0.66290000000000004</v>
      </c>
      <c r="AA122" s="63">
        <v>7.2400000000000006E-2</v>
      </c>
      <c r="AB122" s="63">
        <v>2.2700999999999998</v>
      </c>
      <c r="AC122" s="63">
        <v>0.15240000000000001</v>
      </c>
      <c r="AD122" s="63">
        <f t="shared" si="6"/>
        <v>91.207700000000003</v>
      </c>
    </row>
    <row r="123" spans="1:30" s="64" customFormat="1" x14ac:dyDescent="0.25">
      <c r="A123" s="59" t="s">
        <v>53</v>
      </c>
      <c r="B123" s="60">
        <v>15386</v>
      </c>
      <c r="C123" s="60">
        <v>3</v>
      </c>
      <c r="D123" s="61">
        <v>1200</v>
      </c>
      <c r="E123" s="61">
        <v>96</v>
      </c>
      <c r="F123" s="62">
        <f t="shared" si="0"/>
        <v>6.7888662593346911</v>
      </c>
      <c r="G123" s="62" t="s">
        <v>27</v>
      </c>
      <c r="H123" s="63">
        <v>45.4313</v>
      </c>
      <c r="I123" s="63">
        <v>0.3332</v>
      </c>
      <c r="J123" s="63">
        <v>1.9782</v>
      </c>
      <c r="K123" s="63">
        <v>6.8599999999999994E-2</v>
      </c>
      <c r="L123" s="63">
        <v>14.180099999999999</v>
      </c>
      <c r="M123" s="63">
        <v>0.3281</v>
      </c>
      <c r="N123" s="63">
        <v>7.3659999999999997</v>
      </c>
      <c r="O123" s="63">
        <v>0.22140000000000001</v>
      </c>
      <c r="P123" s="63">
        <v>7.9057000000000004</v>
      </c>
      <c r="Q123" s="63">
        <v>9.5100000000000004E-2</v>
      </c>
      <c r="R123" s="63">
        <v>3.6999999999999998E-2</v>
      </c>
      <c r="S123" s="63">
        <v>4.3299999999999998E-2</v>
      </c>
      <c r="T123" s="63">
        <v>8.9337999999999997</v>
      </c>
      <c r="U123" s="63">
        <v>0.18010000000000001</v>
      </c>
      <c r="V123" s="63">
        <v>1.2504</v>
      </c>
      <c r="W123" s="63">
        <v>0.13919999999999999</v>
      </c>
      <c r="X123" s="63">
        <v>0.64319999999999999</v>
      </c>
      <c r="Y123" s="63">
        <v>5.8000000000000003E-2</v>
      </c>
      <c r="Z123" s="63">
        <v>0.53049999999999997</v>
      </c>
      <c r="AA123" s="63">
        <v>6.6699999999999995E-2</v>
      </c>
      <c r="AB123" s="63">
        <v>2.2884000000000002</v>
      </c>
      <c r="AC123" s="63">
        <v>0.15179999999999999</v>
      </c>
      <c r="AD123" s="63">
        <f t="shared" si="6"/>
        <v>90.544600000000003</v>
      </c>
    </row>
    <row r="124" spans="1:30" s="64" customFormat="1" x14ac:dyDescent="0.25">
      <c r="A124" s="59" t="s">
        <v>53</v>
      </c>
      <c r="B124" s="60">
        <v>15386</v>
      </c>
      <c r="C124" s="60">
        <v>4</v>
      </c>
      <c r="D124" s="61">
        <v>1200</v>
      </c>
      <c r="E124" s="61">
        <v>96</v>
      </c>
      <c r="F124" s="62">
        <f t="shared" si="0"/>
        <v>6.7888662593346911</v>
      </c>
      <c r="G124" s="62" t="s">
        <v>27</v>
      </c>
      <c r="H124" s="63">
        <v>45.558199999999999</v>
      </c>
      <c r="I124" s="63">
        <v>0.33379999999999999</v>
      </c>
      <c r="J124" s="63">
        <v>2.0634999999999999</v>
      </c>
      <c r="K124" s="63">
        <v>6.9699999999999998E-2</v>
      </c>
      <c r="L124" s="63">
        <v>14.2417</v>
      </c>
      <c r="M124" s="63">
        <v>0.32890000000000003</v>
      </c>
      <c r="N124" s="63">
        <v>7.4413999999999998</v>
      </c>
      <c r="O124" s="63">
        <v>0.22239999999999999</v>
      </c>
      <c r="P124" s="63">
        <v>7.9241000000000001</v>
      </c>
      <c r="Q124" s="63">
        <v>9.5500000000000002E-2</v>
      </c>
      <c r="R124" s="63">
        <v>2.18E-2</v>
      </c>
      <c r="S124" s="63">
        <v>4.4400000000000002E-2</v>
      </c>
      <c r="T124" s="63">
        <v>9.0617000000000001</v>
      </c>
      <c r="U124" s="63">
        <v>0.1812</v>
      </c>
      <c r="V124" s="63">
        <v>1.4702</v>
      </c>
      <c r="W124" s="63">
        <v>0.14899999999999999</v>
      </c>
      <c r="X124" s="63">
        <v>0.65410000000000001</v>
      </c>
      <c r="Y124" s="63">
        <v>5.8000000000000003E-2</v>
      </c>
      <c r="Z124" s="63">
        <v>0.62490000000000001</v>
      </c>
      <c r="AA124" s="63">
        <v>7.0900000000000005E-2</v>
      </c>
      <c r="AB124" s="63">
        <v>2.2564000000000002</v>
      </c>
      <c r="AC124" s="63">
        <v>0.15229999999999999</v>
      </c>
      <c r="AD124" s="63">
        <f t="shared" si="6"/>
        <v>91.317999999999998</v>
      </c>
    </row>
    <row r="125" spans="1:30" s="64" customFormat="1" x14ac:dyDescent="0.25">
      <c r="A125" s="59" t="s">
        <v>53</v>
      </c>
      <c r="B125" s="60">
        <v>15386</v>
      </c>
      <c r="C125" s="60">
        <v>5</v>
      </c>
      <c r="D125" s="61">
        <v>1200</v>
      </c>
      <c r="E125" s="61">
        <v>96</v>
      </c>
      <c r="F125" s="62">
        <f t="shared" si="0"/>
        <v>6.7888662593346911</v>
      </c>
      <c r="G125" s="62" t="s">
        <v>27</v>
      </c>
      <c r="H125" s="63">
        <v>45.628100000000003</v>
      </c>
      <c r="I125" s="63">
        <v>0.33429999999999999</v>
      </c>
      <c r="J125" s="63">
        <v>2.0251000000000001</v>
      </c>
      <c r="K125" s="63">
        <v>6.93E-2</v>
      </c>
      <c r="L125" s="63">
        <v>14.47</v>
      </c>
      <c r="M125" s="63">
        <v>0.33150000000000002</v>
      </c>
      <c r="N125" s="63">
        <v>7.3842999999999996</v>
      </c>
      <c r="O125" s="63">
        <v>0.2215</v>
      </c>
      <c r="P125" s="63">
        <v>7.8947000000000003</v>
      </c>
      <c r="Q125" s="63">
        <v>9.5100000000000004E-2</v>
      </c>
      <c r="R125" s="63">
        <v>7.7399999999999997E-2</v>
      </c>
      <c r="S125" s="63">
        <v>4.6800000000000001E-2</v>
      </c>
      <c r="T125" s="63">
        <v>9.1044</v>
      </c>
      <c r="U125" s="63">
        <v>0.18160000000000001</v>
      </c>
      <c r="V125" s="63">
        <v>1.3058000000000001</v>
      </c>
      <c r="W125" s="63">
        <v>0.14099999999999999</v>
      </c>
      <c r="X125" s="63">
        <v>0.67769999999999997</v>
      </c>
      <c r="Y125" s="63">
        <v>5.9400000000000001E-2</v>
      </c>
      <c r="Z125" s="63">
        <v>0.57120000000000004</v>
      </c>
      <c r="AA125" s="63">
        <v>6.93E-2</v>
      </c>
      <c r="AB125" s="63">
        <v>2.323</v>
      </c>
      <c r="AC125" s="63">
        <v>0.15310000000000001</v>
      </c>
      <c r="AD125" s="63">
        <f t="shared" si="6"/>
        <v>91.461700000000008</v>
      </c>
    </row>
    <row r="126" spans="1:30" s="19" customFormat="1" x14ac:dyDescent="0.25">
      <c r="A126" s="12" t="s">
        <v>54</v>
      </c>
      <c r="B126" s="13" t="s">
        <v>227</v>
      </c>
      <c r="C126" s="13">
        <v>1</v>
      </c>
      <c r="D126" s="6">
        <v>1200</v>
      </c>
      <c r="E126" s="6">
        <v>96</v>
      </c>
      <c r="F126" s="7">
        <f>10^4/(D126+273)</f>
        <v>6.7888662593346911</v>
      </c>
      <c r="G126" s="7" t="s">
        <v>27</v>
      </c>
      <c r="H126" s="15">
        <v>66.391099999999994</v>
      </c>
      <c r="I126" s="15">
        <v>0.43690000000000001</v>
      </c>
      <c r="J126" s="15">
        <v>0.66059999999999997</v>
      </c>
      <c r="K126" s="15">
        <v>4.4699999999999997E-2</v>
      </c>
      <c r="L126" s="15">
        <v>11.1753</v>
      </c>
      <c r="M126" s="15">
        <v>0.27739999999999998</v>
      </c>
      <c r="N126" s="15">
        <v>0.6371</v>
      </c>
      <c r="O126" s="15">
        <v>7.4899999999999994E-2</v>
      </c>
      <c r="P126" s="15">
        <v>0.49249999999999999</v>
      </c>
      <c r="Q126" s="15">
        <v>2.6499999999999999E-2</v>
      </c>
      <c r="R126" s="15">
        <v>1.66E-2</v>
      </c>
      <c r="S126" s="15">
        <v>4.1399999999999999E-2</v>
      </c>
      <c r="T126" s="15">
        <v>1.0710999999999999</v>
      </c>
      <c r="U126" s="15">
        <v>6.6400000000000001E-2</v>
      </c>
      <c r="V126" s="15">
        <v>0.50119999999999998</v>
      </c>
      <c r="W126" s="15">
        <v>8.6699999999999999E-2</v>
      </c>
      <c r="X126" s="15">
        <v>5.0536000000000003</v>
      </c>
      <c r="Y126" s="15">
        <v>0.15709999999999999</v>
      </c>
      <c r="Z126" s="15">
        <v>1.66E-2</v>
      </c>
      <c r="AA126" s="15">
        <v>2.6700000000000002E-2</v>
      </c>
      <c r="AB126" s="15">
        <v>0.4728</v>
      </c>
      <c r="AC126" s="15">
        <v>8.1199999999999994E-2</v>
      </c>
      <c r="AD126" s="15">
        <f t="shared" si="6"/>
        <v>86.488500000000016</v>
      </c>
    </row>
    <row r="127" spans="1:30" s="19" customFormat="1" x14ac:dyDescent="0.25">
      <c r="A127" s="12" t="s">
        <v>54</v>
      </c>
      <c r="B127" s="13" t="s">
        <v>227</v>
      </c>
      <c r="C127" s="13">
        <v>2</v>
      </c>
      <c r="D127" s="6">
        <v>1200</v>
      </c>
      <c r="E127" s="6">
        <v>96</v>
      </c>
      <c r="F127" s="7">
        <f>10^4/(D127+273)</f>
        <v>6.7888662593346911</v>
      </c>
      <c r="G127" s="7" t="s">
        <v>27</v>
      </c>
      <c r="H127" s="15">
        <v>67.1905</v>
      </c>
      <c r="I127" s="15">
        <v>0.44090000000000001</v>
      </c>
      <c r="J127" s="15">
        <v>0.68100000000000005</v>
      </c>
      <c r="K127" s="15">
        <v>4.5199999999999997E-2</v>
      </c>
      <c r="L127" s="15">
        <v>11.1752</v>
      </c>
      <c r="M127" s="15">
        <v>0.27750000000000002</v>
      </c>
      <c r="N127" s="15">
        <v>0.67420000000000002</v>
      </c>
      <c r="O127" s="15">
        <v>7.51E-2</v>
      </c>
      <c r="P127" s="15">
        <v>0.48649999999999999</v>
      </c>
      <c r="Q127" s="15">
        <v>2.6100000000000002E-2</v>
      </c>
      <c r="R127" s="15">
        <v>1.1000000000000001E-3</v>
      </c>
      <c r="S127" s="15">
        <v>4.0500000000000001E-2</v>
      </c>
      <c r="T127" s="15">
        <v>1.0125</v>
      </c>
      <c r="U127" s="15">
        <v>6.4500000000000002E-2</v>
      </c>
      <c r="V127" s="15">
        <v>0.46429999999999999</v>
      </c>
      <c r="W127" s="15">
        <v>8.3699999999999997E-2</v>
      </c>
      <c r="X127" s="15">
        <v>5.0681000000000003</v>
      </c>
      <c r="Y127" s="15">
        <v>0.15709999999999999</v>
      </c>
      <c r="Z127" s="15">
        <v>6.1000000000000004E-3</v>
      </c>
      <c r="AA127" s="15">
        <v>3.0599999999999999E-2</v>
      </c>
      <c r="AB127" s="15">
        <v>0.39250000000000002</v>
      </c>
      <c r="AC127" s="15">
        <v>7.8799999999999995E-2</v>
      </c>
      <c r="AD127" s="15">
        <f t="shared" si="6"/>
        <v>87.152000000000001</v>
      </c>
    </row>
    <row r="128" spans="1:30" s="19" customFormat="1" x14ac:dyDescent="0.25">
      <c r="A128" s="12" t="s">
        <v>54</v>
      </c>
      <c r="B128" s="13" t="s">
        <v>227</v>
      </c>
      <c r="C128" s="13">
        <v>3</v>
      </c>
      <c r="D128" s="6">
        <v>1200</v>
      </c>
      <c r="E128" s="6">
        <v>96</v>
      </c>
      <c r="F128" s="7">
        <f>10^4/(D128+273)</f>
        <v>6.7888662593346911</v>
      </c>
      <c r="G128" s="7" t="s">
        <v>27</v>
      </c>
      <c r="H128" s="15">
        <v>67.773799999999994</v>
      </c>
      <c r="I128" s="15">
        <v>0.44379999999999997</v>
      </c>
      <c r="J128" s="15">
        <v>0.70640000000000003</v>
      </c>
      <c r="K128" s="15">
        <v>4.4699999999999997E-2</v>
      </c>
      <c r="L128" s="15">
        <v>11.2179</v>
      </c>
      <c r="M128" s="15">
        <v>0.2782</v>
      </c>
      <c r="N128" s="15">
        <v>0.64829999999999999</v>
      </c>
      <c r="O128" s="15">
        <v>7.5999999999999998E-2</v>
      </c>
      <c r="P128" s="15">
        <v>0.52559999999999996</v>
      </c>
      <c r="Q128" s="15">
        <v>2.64E-2</v>
      </c>
      <c r="R128" s="15">
        <v>0</v>
      </c>
      <c r="S128" s="15">
        <v>6.2300000000000001E-2</v>
      </c>
      <c r="T128" s="15">
        <v>1.0024</v>
      </c>
      <c r="U128" s="15">
        <v>6.3700000000000007E-2</v>
      </c>
      <c r="V128" s="15">
        <v>0.52290000000000003</v>
      </c>
      <c r="W128" s="15">
        <v>8.7099999999999997E-2</v>
      </c>
      <c r="X128" s="15">
        <v>5.1493000000000002</v>
      </c>
      <c r="Y128" s="15">
        <v>0.1585</v>
      </c>
      <c r="Z128" s="15">
        <v>-1.55E-2</v>
      </c>
      <c r="AA128" s="15">
        <v>2.87E-2</v>
      </c>
      <c r="AB128" s="15">
        <v>0.4501</v>
      </c>
      <c r="AC128" s="15">
        <v>8.2600000000000007E-2</v>
      </c>
      <c r="AD128" s="15">
        <f t="shared" ref="AD128:AD147" si="8">SUM(H128,J128,L128,N128,P128,R128,T128,V128,X128,Z128,AB128)</f>
        <v>87.981200000000001</v>
      </c>
    </row>
    <row r="129" spans="1:30" s="19" customFormat="1" x14ac:dyDescent="0.25">
      <c r="A129" s="12" t="s">
        <v>54</v>
      </c>
      <c r="B129" s="13" t="s">
        <v>227</v>
      </c>
      <c r="C129" s="13">
        <v>4</v>
      </c>
      <c r="D129" s="6">
        <v>1200</v>
      </c>
      <c r="E129" s="6">
        <v>96</v>
      </c>
      <c r="F129" s="7">
        <f>10^4/(D129+273)</f>
        <v>6.7888662593346911</v>
      </c>
      <c r="G129" s="7" t="s">
        <v>27</v>
      </c>
      <c r="H129" s="15">
        <v>67.686999999999998</v>
      </c>
      <c r="I129" s="15">
        <v>0.44359999999999999</v>
      </c>
      <c r="J129" s="15">
        <v>0.64749999999999996</v>
      </c>
      <c r="K129" s="15">
        <v>4.48E-2</v>
      </c>
      <c r="L129" s="15">
        <v>11.7117</v>
      </c>
      <c r="M129" s="15">
        <v>0.28439999999999999</v>
      </c>
      <c r="N129" s="15">
        <v>0.58209999999999995</v>
      </c>
      <c r="O129" s="15">
        <v>7.5700000000000003E-2</v>
      </c>
      <c r="P129" s="15">
        <v>0.5141</v>
      </c>
      <c r="Q129" s="15">
        <v>2.6599999999999999E-2</v>
      </c>
      <c r="R129" s="15">
        <v>8.8999999999999999E-3</v>
      </c>
      <c r="S129" s="15">
        <v>4.1200000000000001E-2</v>
      </c>
      <c r="T129" s="15">
        <v>1.022</v>
      </c>
      <c r="U129" s="15">
        <v>6.4799999999999996E-2</v>
      </c>
      <c r="V129" s="15">
        <v>0.54710000000000003</v>
      </c>
      <c r="W129" s="15">
        <v>8.9899999999999994E-2</v>
      </c>
      <c r="X129" s="15">
        <v>5.1778000000000004</v>
      </c>
      <c r="Y129" s="15">
        <v>0.15890000000000001</v>
      </c>
      <c r="Z129" s="15">
        <v>-3.8999999999999998E-3</v>
      </c>
      <c r="AA129" s="15">
        <v>0.03</v>
      </c>
      <c r="AB129" s="15">
        <v>0.40160000000000001</v>
      </c>
      <c r="AC129" s="15">
        <v>7.7299999999999994E-2</v>
      </c>
      <c r="AD129" s="15">
        <f t="shared" si="8"/>
        <v>88.295900000000003</v>
      </c>
    </row>
    <row r="130" spans="1:30" s="19" customFormat="1" x14ac:dyDescent="0.25">
      <c r="A130" s="12" t="s">
        <v>54</v>
      </c>
      <c r="B130" s="13" t="s">
        <v>227</v>
      </c>
      <c r="C130" s="13">
        <v>5</v>
      </c>
      <c r="D130" s="6">
        <v>1200</v>
      </c>
      <c r="E130" s="6">
        <v>96</v>
      </c>
      <c r="F130" s="7">
        <f>10^4/(D130+273)</f>
        <v>6.7888662593346911</v>
      </c>
      <c r="G130" s="7" t="s">
        <v>27</v>
      </c>
      <c r="H130" s="15">
        <v>67.147300000000001</v>
      </c>
      <c r="I130" s="15">
        <v>0.44059999999999999</v>
      </c>
      <c r="J130" s="15">
        <v>0.62190000000000001</v>
      </c>
      <c r="K130" s="15">
        <v>4.4200000000000003E-2</v>
      </c>
      <c r="L130" s="15">
        <v>11.225899999999999</v>
      </c>
      <c r="M130" s="15">
        <v>0.2782</v>
      </c>
      <c r="N130" s="15">
        <v>0.59160000000000001</v>
      </c>
      <c r="O130" s="15">
        <v>7.1499999999999994E-2</v>
      </c>
      <c r="P130" s="15">
        <v>0.50649999999999995</v>
      </c>
      <c r="Q130" s="15">
        <v>2.6499999999999999E-2</v>
      </c>
      <c r="R130" s="15">
        <v>-5.4999999999999997E-3</v>
      </c>
      <c r="S130" s="15">
        <v>4.1000000000000002E-2</v>
      </c>
      <c r="T130" s="15">
        <v>0.94910000000000005</v>
      </c>
      <c r="U130" s="15">
        <v>6.2799999999999995E-2</v>
      </c>
      <c r="V130" s="15">
        <v>0.49049999999999999</v>
      </c>
      <c r="W130" s="15">
        <v>8.6099999999999996E-2</v>
      </c>
      <c r="X130" s="15">
        <v>4.9634999999999998</v>
      </c>
      <c r="Y130" s="15">
        <v>0.156</v>
      </c>
      <c r="Z130" s="15">
        <v>2.9899999999999999E-2</v>
      </c>
      <c r="AA130" s="15">
        <v>3.0499999999999999E-2</v>
      </c>
      <c r="AB130" s="15">
        <v>0.72470000000000001</v>
      </c>
      <c r="AC130" s="15">
        <v>9.4399999999999998E-2</v>
      </c>
      <c r="AD130" s="15">
        <f t="shared" si="8"/>
        <v>87.245399999999989</v>
      </c>
    </row>
    <row r="131" spans="1:30" s="64" customFormat="1" x14ac:dyDescent="0.25">
      <c r="A131" s="59" t="s">
        <v>55</v>
      </c>
      <c r="B131" s="60" t="s">
        <v>228</v>
      </c>
      <c r="C131" s="60">
        <v>2</v>
      </c>
      <c r="D131" s="61">
        <v>1200</v>
      </c>
      <c r="E131" s="61">
        <v>96</v>
      </c>
      <c r="F131" s="62">
        <f t="shared" si="0"/>
        <v>6.7888662593346911</v>
      </c>
      <c r="G131" s="62" t="s">
        <v>27</v>
      </c>
      <c r="H131" s="63">
        <v>50.408200000000001</v>
      </c>
      <c r="I131" s="63">
        <v>0.3569</v>
      </c>
      <c r="J131" s="63">
        <v>2.1953</v>
      </c>
      <c r="K131" s="63">
        <v>7.1499999999999994E-2</v>
      </c>
      <c r="L131" s="63">
        <v>11.460599999999999</v>
      </c>
      <c r="M131" s="63">
        <v>0.2913</v>
      </c>
      <c r="N131" s="63">
        <v>7.8872999999999998</v>
      </c>
      <c r="O131" s="63">
        <v>0.22969999999999999</v>
      </c>
      <c r="P131" s="63">
        <v>2.6631</v>
      </c>
      <c r="Q131" s="63">
        <v>5.6500000000000002E-2</v>
      </c>
      <c r="R131" s="63">
        <v>4.7899999999999998E-2</v>
      </c>
      <c r="S131" s="63">
        <v>4.5699999999999998E-2</v>
      </c>
      <c r="T131" s="63">
        <v>8.2924000000000007</v>
      </c>
      <c r="U131" s="63">
        <v>0.17349999999999999</v>
      </c>
      <c r="V131" s="63">
        <v>2.4136000000000002</v>
      </c>
      <c r="W131" s="63">
        <v>0.18779999999999999</v>
      </c>
      <c r="X131" s="63">
        <v>1.6718</v>
      </c>
      <c r="Y131" s="63">
        <v>8.8099999999999998E-2</v>
      </c>
      <c r="Z131" s="63">
        <v>1.2464</v>
      </c>
      <c r="AA131" s="63">
        <v>9.6000000000000002E-2</v>
      </c>
      <c r="AB131" s="63">
        <v>2.0009000000000001</v>
      </c>
      <c r="AC131" s="63">
        <v>0.14580000000000001</v>
      </c>
      <c r="AD131" s="63">
        <f t="shared" si="8"/>
        <v>90.287499999999994</v>
      </c>
    </row>
    <row r="132" spans="1:30" s="64" customFormat="1" x14ac:dyDescent="0.25">
      <c r="A132" s="59" t="s">
        <v>55</v>
      </c>
      <c r="B132" s="60" t="s">
        <v>228</v>
      </c>
      <c r="C132" s="60">
        <v>3</v>
      </c>
      <c r="D132" s="61">
        <v>1200</v>
      </c>
      <c r="E132" s="61">
        <v>96</v>
      </c>
      <c r="F132" s="62">
        <f t="shared" si="0"/>
        <v>6.7888662593346911</v>
      </c>
      <c r="G132" s="62" t="s">
        <v>27</v>
      </c>
      <c r="H132" s="63">
        <v>50.456400000000002</v>
      </c>
      <c r="I132" s="63">
        <v>0.35709999999999997</v>
      </c>
      <c r="J132" s="63">
        <v>2.1766000000000001</v>
      </c>
      <c r="K132" s="63">
        <v>7.1099999999999997E-2</v>
      </c>
      <c r="L132" s="63">
        <v>11.942</v>
      </c>
      <c r="M132" s="63">
        <v>0.29680000000000001</v>
      </c>
      <c r="N132" s="63">
        <v>7.6878000000000002</v>
      </c>
      <c r="O132" s="63">
        <v>0.22650000000000001</v>
      </c>
      <c r="P132" s="63">
        <v>2.7176999999999998</v>
      </c>
      <c r="Q132" s="63">
        <v>5.6800000000000003E-2</v>
      </c>
      <c r="R132" s="63">
        <v>1.9599999999999999E-2</v>
      </c>
      <c r="S132" s="63">
        <v>4.2200000000000001E-2</v>
      </c>
      <c r="T132" s="63">
        <v>8.4182000000000006</v>
      </c>
      <c r="U132" s="63">
        <v>0.17519999999999999</v>
      </c>
      <c r="V132" s="63">
        <v>2.2669999999999999</v>
      </c>
      <c r="W132" s="63">
        <v>0.18190000000000001</v>
      </c>
      <c r="X132" s="63">
        <v>1.5905</v>
      </c>
      <c r="Y132" s="63">
        <v>8.6800000000000002E-2</v>
      </c>
      <c r="Z132" s="63">
        <v>1.2534000000000001</v>
      </c>
      <c r="AA132" s="63">
        <v>9.6699999999999994E-2</v>
      </c>
      <c r="AB132" s="63">
        <v>1.9588000000000001</v>
      </c>
      <c r="AC132" s="63">
        <v>0.14399999999999999</v>
      </c>
      <c r="AD132" s="63">
        <f t="shared" si="8"/>
        <v>90.487999999999985</v>
      </c>
    </row>
    <row r="133" spans="1:30" s="64" customFormat="1" x14ac:dyDescent="0.25">
      <c r="A133" s="59" t="s">
        <v>55</v>
      </c>
      <c r="B133" s="60" t="s">
        <v>228</v>
      </c>
      <c r="C133" s="60">
        <v>4</v>
      </c>
      <c r="D133" s="61">
        <v>1200</v>
      </c>
      <c r="E133" s="61">
        <v>96</v>
      </c>
      <c r="F133" s="62">
        <f t="shared" si="0"/>
        <v>6.7888662593346911</v>
      </c>
      <c r="G133" s="62" t="s">
        <v>27</v>
      </c>
      <c r="H133" s="63">
        <v>51.035299999999999</v>
      </c>
      <c r="I133" s="63">
        <v>0.36020000000000002</v>
      </c>
      <c r="J133" s="63">
        <v>2.1480000000000001</v>
      </c>
      <c r="K133" s="63">
        <v>7.0800000000000002E-2</v>
      </c>
      <c r="L133" s="63">
        <v>12.208399999999999</v>
      </c>
      <c r="M133" s="63">
        <v>0.3004</v>
      </c>
      <c r="N133" s="63">
        <v>7.9107000000000003</v>
      </c>
      <c r="O133" s="63">
        <v>0.23089999999999999</v>
      </c>
      <c r="P133" s="63">
        <v>2.7435999999999998</v>
      </c>
      <c r="Q133" s="63">
        <v>5.7200000000000001E-2</v>
      </c>
      <c r="R133" s="63">
        <v>1.3100000000000001E-2</v>
      </c>
      <c r="S133" s="63">
        <v>4.2900000000000001E-2</v>
      </c>
      <c r="T133" s="63">
        <v>8.4872999999999994</v>
      </c>
      <c r="U133" s="63">
        <v>0.17530000000000001</v>
      </c>
      <c r="V133" s="63">
        <v>2.1833</v>
      </c>
      <c r="W133" s="63">
        <v>0.1794</v>
      </c>
      <c r="X133" s="63">
        <v>1.6032</v>
      </c>
      <c r="Y133" s="63">
        <v>8.7300000000000003E-2</v>
      </c>
      <c r="Z133" s="63">
        <v>1.1153999999999999</v>
      </c>
      <c r="AA133" s="63">
        <v>9.1899999999999996E-2</v>
      </c>
      <c r="AB133" s="63">
        <v>2.0991</v>
      </c>
      <c r="AC133" s="63">
        <v>0.14760000000000001</v>
      </c>
      <c r="AD133" s="63">
        <f t="shared" si="8"/>
        <v>91.54740000000001</v>
      </c>
    </row>
    <row r="134" spans="1:30" s="64" customFormat="1" x14ac:dyDescent="0.25">
      <c r="A134" s="59" t="s">
        <v>55</v>
      </c>
      <c r="B134" s="60" t="s">
        <v>228</v>
      </c>
      <c r="C134" s="60">
        <v>5</v>
      </c>
      <c r="D134" s="61">
        <v>1200</v>
      </c>
      <c r="E134" s="61">
        <v>96</v>
      </c>
      <c r="F134" s="62">
        <f t="shared" si="0"/>
        <v>6.7888662593346911</v>
      </c>
      <c r="G134" s="62" t="s">
        <v>27</v>
      </c>
      <c r="H134" s="63">
        <v>51.2605</v>
      </c>
      <c r="I134" s="63">
        <v>0.36130000000000001</v>
      </c>
      <c r="J134" s="63">
        <v>2.1837</v>
      </c>
      <c r="K134" s="63">
        <v>7.1999999999999995E-2</v>
      </c>
      <c r="L134" s="63">
        <v>11.9681</v>
      </c>
      <c r="M134" s="63">
        <v>0.29709999999999998</v>
      </c>
      <c r="N134" s="63">
        <v>7.7666000000000004</v>
      </c>
      <c r="O134" s="63">
        <v>0.22750000000000001</v>
      </c>
      <c r="P134" s="63">
        <v>2.6886000000000001</v>
      </c>
      <c r="Q134" s="63">
        <v>5.7099999999999998E-2</v>
      </c>
      <c r="R134" s="63">
        <v>4.7899999999999998E-2</v>
      </c>
      <c r="S134" s="63">
        <v>4.41E-2</v>
      </c>
      <c r="T134" s="63">
        <v>8.5500000000000007</v>
      </c>
      <c r="U134" s="63">
        <v>0.1764</v>
      </c>
      <c r="V134" s="63">
        <v>2.4961000000000002</v>
      </c>
      <c r="W134" s="63">
        <v>0.18959999999999999</v>
      </c>
      <c r="X134" s="63">
        <v>1.5319</v>
      </c>
      <c r="Y134" s="63">
        <v>8.5000000000000006E-2</v>
      </c>
      <c r="Z134" s="63">
        <v>1.1778</v>
      </c>
      <c r="AA134" s="63">
        <v>9.3700000000000006E-2</v>
      </c>
      <c r="AB134" s="63">
        <v>1.9411</v>
      </c>
      <c r="AC134" s="63">
        <v>0.1431</v>
      </c>
      <c r="AD134" s="63">
        <f t="shared" si="8"/>
        <v>91.612299999999991</v>
      </c>
    </row>
    <row r="135" spans="1:30" s="19" customFormat="1" x14ac:dyDescent="0.25">
      <c r="A135" s="12" t="s">
        <v>56</v>
      </c>
      <c r="B135" s="13" t="s">
        <v>229</v>
      </c>
      <c r="C135" s="13">
        <v>1</v>
      </c>
      <c r="D135" s="6">
        <v>1200</v>
      </c>
      <c r="E135" s="6">
        <v>96</v>
      </c>
      <c r="F135" s="7">
        <f t="shared" si="0"/>
        <v>6.7888662593346911</v>
      </c>
      <c r="G135" s="7" t="s">
        <v>27</v>
      </c>
      <c r="H135" s="15">
        <v>43.218200000000003</v>
      </c>
      <c r="I135" s="15">
        <v>0.32269999999999999</v>
      </c>
      <c r="J135" s="15">
        <v>0.51329999999999998</v>
      </c>
      <c r="K135" s="15">
        <v>4.1500000000000002E-2</v>
      </c>
      <c r="L135" s="15">
        <v>20.9925</v>
      </c>
      <c r="M135" s="15">
        <v>0.39500000000000002</v>
      </c>
      <c r="N135" s="15">
        <v>4.5835999999999997</v>
      </c>
      <c r="O135" s="15">
        <v>0.17460000000000001</v>
      </c>
      <c r="P135" s="15">
        <v>5.3802000000000003</v>
      </c>
      <c r="Q135" s="15">
        <v>7.7499999999999999E-2</v>
      </c>
      <c r="R135" s="15">
        <v>3.0599999999999999E-2</v>
      </c>
      <c r="S135" s="15">
        <v>4.3299999999999998E-2</v>
      </c>
      <c r="T135" s="15">
        <v>10.2316</v>
      </c>
      <c r="U135" s="15">
        <v>0.19350000000000001</v>
      </c>
      <c r="V135" s="15">
        <v>0.3664</v>
      </c>
      <c r="W135" s="15">
        <v>8.1199999999999994E-2</v>
      </c>
      <c r="X135" s="15">
        <v>1.0671999999999999</v>
      </c>
      <c r="Y135" s="15">
        <v>7.2599999999999998E-2</v>
      </c>
      <c r="Z135" s="15">
        <v>0.27810000000000001</v>
      </c>
      <c r="AA135" s="15">
        <v>5.0900000000000001E-2</v>
      </c>
      <c r="AB135" s="15">
        <v>2.0882999999999998</v>
      </c>
      <c r="AC135" s="15">
        <v>0.1472</v>
      </c>
      <c r="AD135" s="15">
        <f t="shared" si="8"/>
        <v>88.750000000000014</v>
      </c>
    </row>
    <row r="136" spans="1:30" s="19" customFormat="1" x14ac:dyDescent="0.25">
      <c r="A136" s="12" t="s">
        <v>56</v>
      </c>
      <c r="B136" s="13" t="s">
        <v>229</v>
      </c>
      <c r="C136" s="13">
        <v>2</v>
      </c>
      <c r="D136" s="6">
        <v>1200</v>
      </c>
      <c r="E136" s="6">
        <v>96</v>
      </c>
      <c r="F136" s="7">
        <f t="shared" si="0"/>
        <v>6.7888662593346911</v>
      </c>
      <c r="G136" s="7" t="s">
        <v>27</v>
      </c>
      <c r="H136" s="15">
        <v>42.852699999999999</v>
      </c>
      <c r="I136" s="15">
        <v>0.32040000000000002</v>
      </c>
      <c r="J136" s="15">
        <v>0.48480000000000001</v>
      </c>
      <c r="K136" s="15">
        <v>4.1300000000000003E-2</v>
      </c>
      <c r="L136" s="15">
        <v>20.3689</v>
      </c>
      <c r="M136" s="15">
        <v>0.38929999999999998</v>
      </c>
      <c r="N136" s="15">
        <v>4.6028000000000002</v>
      </c>
      <c r="O136" s="15">
        <v>0.1749</v>
      </c>
      <c r="P136" s="15">
        <v>5.4420999999999999</v>
      </c>
      <c r="Q136" s="15">
        <v>7.7799999999999994E-2</v>
      </c>
      <c r="R136" s="15">
        <v>4.4900000000000002E-2</v>
      </c>
      <c r="S136" s="15">
        <v>4.19E-2</v>
      </c>
      <c r="T136" s="15">
        <v>10.412699999999999</v>
      </c>
      <c r="U136" s="15">
        <v>0.19500000000000001</v>
      </c>
      <c r="V136" s="15">
        <v>0.37669999999999998</v>
      </c>
      <c r="W136" s="15">
        <v>8.1500000000000003E-2</v>
      </c>
      <c r="X136" s="15">
        <v>1.0477000000000001</v>
      </c>
      <c r="Y136" s="15">
        <v>7.1499999999999994E-2</v>
      </c>
      <c r="Z136" s="15">
        <v>0.19040000000000001</v>
      </c>
      <c r="AA136" s="15">
        <v>4.6300000000000001E-2</v>
      </c>
      <c r="AB136" s="15">
        <v>2.0278999999999998</v>
      </c>
      <c r="AC136" s="15">
        <v>0.1429</v>
      </c>
      <c r="AD136" s="15">
        <f t="shared" si="8"/>
        <v>87.851600000000005</v>
      </c>
    </row>
    <row r="137" spans="1:30" s="19" customFormat="1" x14ac:dyDescent="0.25">
      <c r="A137" s="12" t="s">
        <v>56</v>
      </c>
      <c r="B137" s="13" t="s">
        <v>229</v>
      </c>
      <c r="C137" s="13">
        <v>3</v>
      </c>
      <c r="D137" s="6">
        <v>1200</v>
      </c>
      <c r="E137" s="6">
        <v>96</v>
      </c>
      <c r="F137" s="7">
        <f t="shared" si="0"/>
        <v>6.7888662593346911</v>
      </c>
      <c r="G137" s="7" t="s">
        <v>27</v>
      </c>
      <c r="H137" s="15">
        <v>42.535200000000003</v>
      </c>
      <c r="I137" s="15">
        <v>0.31900000000000001</v>
      </c>
      <c r="J137" s="15">
        <v>0.50609999999999999</v>
      </c>
      <c r="K137" s="15">
        <v>4.0599999999999997E-2</v>
      </c>
      <c r="L137" s="15">
        <v>20.633099999999999</v>
      </c>
      <c r="M137" s="15">
        <v>0.3921</v>
      </c>
      <c r="N137" s="15">
        <v>4.7233999999999998</v>
      </c>
      <c r="O137" s="15">
        <v>0.17699999999999999</v>
      </c>
      <c r="P137" s="15">
        <v>5.4725000000000001</v>
      </c>
      <c r="Q137" s="15">
        <v>7.8100000000000003E-2</v>
      </c>
      <c r="R137" s="15">
        <v>-1.7500000000000002E-2</v>
      </c>
      <c r="S137" s="15">
        <v>4.2700000000000002E-2</v>
      </c>
      <c r="T137" s="15">
        <v>10.3521</v>
      </c>
      <c r="U137" s="15">
        <v>0.1946</v>
      </c>
      <c r="V137" s="15">
        <v>0.33210000000000001</v>
      </c>
      <c r="W137" s="15">
        <v>7.8299999999999995E-2</v>
      </c>
      <c r="X137" s="15">
        <v>1.0532999999999999</v>
      </c>
      <c r="Y137" s="15">
        <v>7.0300000000000001E-2</v>
      </c>
      <c r="Z137" s="15">
        <v>0.1968</v>
      </c>
      <c r="AA137" s="15">
        <v>4.5900000000000003E-2</v>
      </c>
      <c r="AB137" s="15">
        <v>2.0863</v>
      </c>
      <c r="AC137" s="15">
        <v>0.14460000000000001</v>
      </c>
      <c r="AD137" s="15">
        <f t="shared" si="8"/>
        <v>87.87339999999999</v>
      </c>
    </row>
    <row r="138" spans="1:30" s="19" customFormat="1" x14ac:dyDescent="0.25">
      <c r="A138" s="12" t="s">
        <v>56</v>
      </c>
      <c r="B138" s="13" t="s">
        <v>229</v>
      </c>
      <c r="C138" s="13">
        <v>4</v>
      </c>
      <c r="D138" s="6">
        <v>1200</v>
      </c>
      <c r="E138" s="6">
        <v>96</v>
      </c>
      <c r="F138" s="7">
        <f t="shared" si="0"/>
        <v>6.7888662593346911</v>
      </c>
      <c r="G138" s="7" t="s">
        <v>27</v>
      </c>
      <c r="H138" s="15">
        <v>41.378</v>
      </c>
      <c r="I138" s="15">
        <v>0.31280000000000002</v>
      </c>
      <c r="J138" s="15">
        <v>0.46260000000000001</v>
      </c>
      <c r="K138" s="15">
        <v>4.07E-2</v>
      </c>
      <c r="L138" s="15">
        <v>20.146000000000001</v>
      </c>
      <c r="M138" s="15">
        <v>0.38740000000000002</v>
      </c>
      <c r="N138" s="15">
        <v>4.7655000000000003</v>
      </c>
      <c r="O138" s="15">
        <v>0.1784</v>
      </c>
      <c r="P138" s="15">
        <v>5.4691000000000001</v>
      </c>
      <c r="Q138" s="15">
        <v>7.8E-2</v>
      </c>
      <c r="R138" s="15">
        <v>2.6200000000000001E-2</v>
      </c>
      <c r="S138" s="15">
        <v>4.2599999999999999E-2</v>
      </c>
      <c r="T138" s="15">
        <v>10.293699999999999</v>
      </c>
      <c r="U138" s="15">
        <v>0.19359999999999999</v>
      </c>
      <c r="V138" s="15">
        <v>0.29980000000000001</v>
      </c>
      <c r="W138" s="15">
        <v>7.5200000000000003E-2</v>
      </c>
      <c r="X138" s="15">
        <v>1.0694999999999999</v>
      </c>
      <c r="Y138" s="15">
        <v>7.22E-2</v>
      </c>
      <c r="Z138" s="15">
        <v>0.2006</v>
      </c>
      <c r="AA138" s="15">
        <v>4.8500000000000001E-2</v>
      </c>
      <c r="AB138" s="15">
        <v>1.9761</v>
      </c>
      <c r="AC138" s="15">
        <v>0.14219999999999999</v>
      </c>
      <c r="AD138" s="15">
        <f t="shared" si="8"/>
        <v>86.087100000000007</v>
      </c>
    </row>
    <row r="139" spans="1:30" s="19" customFormat="1" x14ac:dyDescent="0.25">
      <c r="A139" s="12" t="s">
        <v>56</v>
      </c>
      <c r="B139" s="13" t="s">
        <v>229</v>
      </c>
      <c r="C139" s="13">
        <v>5</v>
      </c>
      <c r="D139" s="6">
        <v>1200</v>
      </c>
      <c r="E139" s="6">
        <v>96</v>
      </c>
      <c r="F139" s="7">
        <f t="shared" si="0"/>
        <v>6.7888662593346911</v>
      </c>
      <c r="G139" s="7" t="s">
        <v>27</v>
      </c>
      <c r="H139" s="15">
        <v>40.914000000000001</v>
      </c>
      <c r="I139" s="15">
        <v>0.31059999999999999</v>
      </c>
      <c r="J139" s="15">
        <v>0.49490000000000001</v>
      </c>
      <c r="K139" s="15">
        <v>4.1799999999999997E-2</v>
      </c>
      <c r="L139" s="15">
        <v>20.351900000000001</v>
      </c>
      <c r="M139" s="15">
        <v>0.38950000000000001</v>
      </c>
      <c r="N139" s="15">
        <v>4.9043999999999999</v>
      </c>
      <c r="O139" s="15">
        <v>0.18029999999999999</v>
      </c>
      <c r="P139" s="15">
        <v>5.4287999999999998</v>
      </c>
      <c r="Q139" s="15">
        <v>7.7899999999999997E-2</v>
      </c>
      <c r="R139" s="15">
        <v>2.9499999999999998E-2</v>
      </c>
      <c r="S139" s="15">
        <v>4.4499999999999998E-2</v>
      </c>
      <c r="T139" s="15">
        <v>10.2088</v>
      </c>
      <c r="U139" s="15">
        <v>0.19350000000000001</v>
      </c>
      <c r="V139" s="15">
        <v>0.36099999999999999</v>
      </c>
      <c r="W139" s="15">
        <v>8.0399999999999999E-2</v>
      </c>
      <c r="X139" s="15">
        <v>1.0237000000000001</v>
      </c>
      <c r="Y139" s="15">
        <v>7.0499999999999993E-2</v>
      </c>
      <c r="Z139" s="15">
        <v>0.17530000000000001</v>
      </c>
      <c r="AA139" s="15">
        <v>4.6199999999999998E-2</v>
      </c>
      <c r="AB139" s="15">
        <v>2.0945999999999998</v>
      </c>
      <c r="AC139" s="15">
        <v>0.14199999999999999</v>
      </c>
      <c r="AD139" s="15">
        <f t="shared" si="8"/>
        <v>85.986900000000006</v>
      </c>
    </row>
    <row r="140" spans="1:30" s="64" customFormat="1" x14ac:dyDescent="0.25">
      <c r="A140" s="59" t="s">
        <v>57</v>
      </c>
      <c r="B140" s="60" t="s">
        <v>226</v>
      </c>
      <c r="C140" s="60">
        <v>1</v>
      </c>
      <c r="D140" s="61">
        <v>1200</v>
      </c>
      <c r="E140" s="61">
        <v>96</v>
      </c>
      <c r="F140" s="62">
        <f t="shared" si="0"/>
        <v>6.7888662593346911</v>
      </c>
      <c r="G140" s="62" t="s">
        <v>27</v>
      </c>
      <c r="H140" s="63">
        <v>55.3506</v>
      </c>
      <c r="I140" s="63">
        <v>0.38300000000000001</v>
      </c>
      <c r="J140" s="63">
        <v>0.59830000000000005</v>
      </c>
      <c r="K140" s="63">
        <v>4.36E-2</v>
      </c>
      <c r="L140" s="63">
        <v>14.805199999999999</v>
      </c>
      <c r="M140" s="63">
        <v>0.32679999999999998</v>
      </c>
      <c r="N140" s="63">
        <v>2.9916999999999998</v>
      </c>
      <c r="O140" s="63">
        <v>0.1429</v>
      </c>
      <c r="P140" s="63">
        <v>3.2911999999999999</v>
      </c>
      <c r="Q140" s="63">
        <v>6.0499999999999998E-2</v>
      </c>
      <c r="R140" s="63">
        <v>2.53E-2</v>
      </c>
      <c r="S140" s="63">
        <v>4.2299999999999997E-2</v>
      </c>
      <c r="T140" s="63">
        <v>3.9476</v>
      </c>
      <c r="U140" s="63">
        <v>0.12089999999999999</v>
      </c>
      <c r="V140" s="63">
        <v>1.5712999999999999</v>
      </c>
      <c r="W140" s="63">
        <v>0.14680000000000001</v>
      </c>
      <c r="X140" s="63">
        <v>5.0346000000000002</v>
      </c>
      <c r="Y140" s="63">
        <v>0.15590000000000001</v>
      </c>
      <c r="Z140" s="63">
        <v>0.1714</v>
      </c>
      <c r="AA140" s="63">
        <v>4.4499999999999998E-2</v>
      </c>
      <c r="AB140" s="63">
        <v>1.135</v>
      </c>
      <c r="AC140" s="63">
        <v>0.11269999999999999</v>
      </c>
      <c r="AD140" s="63">
        <f t="shared" si="8"/>
        <v>88.922199999999989</v>
      </c>
    </row>
    <row r="141" spans="1:30" s="64" customFormat="1" x14ac:dyDescent="0.25">
      <c r="A141" s="59" t="s">
        <v>57</v>
      </c>
      <c r="B141" s="60" t="s">
        <v>226</v>
      </c>
      <c r="C141" s="60">
        <v>2</v>
      </c>
      <c r="D141" s="61">
        <v>1200</v>
      </c>
      <c r="E141" s="61">
        <v>96</v>
      </c>
      <c r="F141" s="62">
        <f t="shared" si="0"/>
        <v>6.7888662593346911</v>
      </c>
      <c r="G141" s="62" t="s">
        <v>27</v>
      </c>
      <c r="H141" s="63">
        <v>55.737400000000001</v>
      </c>
      <c r="I141" s="63">
        <v>0.38500000000000001</v>
      </c>
      <c r="J141" s="63">
        <v>0.59179999999999999</v>
      </c>
      <c r="K141" s="63">
        <v>4.2500000000000003E-2</v>
      </c>
      <c r="L141" s="63">
        <v>14.882300000000001</v>
      </c>
      <c r="M141" s="63">
        <v>0.32740000000000002</v>
      </c>
      <c r="N141" s="63">
        <v>3.0669</v>
      </c>
      <c r="O141" s="63">
        <v>0.14399999999999999</v>
      </c>
      <c r="P141" s="63">
        <v>3.2772999999999999</v>
      </c>
      <c r="Q141" s="63">
        <v>6.0499999999999998E-2</v>
      </c>
      <c r="R141" s="63">
        <v>1.9800000000000002E-2</v>
      </c>
      <c r="S141" s="63">
        <v>4.3099999999999999E-2</v>
      </c>
      <c r="T141" s="63">
        <v>3.8952</v>
      </c>
      <c r="U141" s="63">
        <v>0.1201</v>
      </c>
      <c r="V141" s="63">
        <v>1.4503999999999999</v>
      </c>
      <c r="W141" s="63">
        <v>0.14249999999999999</v>
      </c>
      <c r="X141" s="63">
        <v>4.9101999999999997</v>
      </c>
      <c r="Y141" s="63">
        <v>0.1537</v>
      </c>
      <c r="Z141" s="63">
        <v>0.20019999999999999</v>
      </c>
      <c r="AA141" s="63">
        <v>4.41E-2</v>
      </c>
      <c r="AB141" s="63">
        <v>1.0668</v>
      </c>
      <c r="AC141" s="63">
        <v>0.1115</v>
      </c>
      <c r="AD141" s="63">
        <f t="shared" si="8"/>
        <v>89.098300000000009</v>
      </c>
    </row>
    <row r="142" spans="1:30" s="64" customFormat="1" x14ac:dyDescent="0.25">
      <c r="A142" s="59" t="s">
        <v>57</v>
      </c>
      <c r="B142" s="60" t="s">
        <v>226</v>
      </c>
      <c r="C142" s="60">
        <v>3</v>
      </c>
      <c r="D142" s="61">
        <v>1200</v>
      </c>
      <c r="E142" s="61">
        <v>96</v>
      </c>
      <c r="F142" s="62">
        <f t="shared" si="0"/>
        <v>6.7888662593346911</v>
      </c>
      <c r="G142" s="62" t="s">
        <v>27</v>
      </c>
      <c r="H142" s="63">
        <v>55.9801</v>
      </c>
      <c r="I142" s="63">
        <v>0.38600000000000001</v>
      </c>
      <c r="J142" s="63">
        <v>0.56569999999999998</v>
      </c>
      <c r="K142" s="63">
        <v>4.2799999999999998E-2</v>
      </c>
      <c r="L142" s="63">
        <v>14.7944</v>
      </c>
      <c r="M142" s="63">
        <v>0.32640000000000002</v>
      </c>
      <c r="N142" s="63">
        <v>2.9864000000000002</v>
      </c>
      <c r="O142" s="63">
        <v>0.14199999999999999</v>
      </c>
      <c r="P142" s="63">
        <v>3.3010000000000002</v>
      </c>
      <c r="Q142" s="63">
        <v>6.0499999999999998E-2</v>
      </c>
      <c r="R142" s="63">
        <v>3.3E-3</v>
      </c>
      <c r="S142" s="63">
        <v>4.07E-2</v>
      </c>
      <c r="T142" s="63">
        <v>3.8898999999999999</v>
      </c>
      <c r="U142" s="63">
        <v>0.1202</v>
      </c>
      <c r="V142" s="63">
        <v>1.4796</v>
      </c>
      <c r="W142" s="63">
        <v>0.1421</v>
      </c>
      <c r="X142" s="63">
        <v>4.9203000000000001</v>
      </c>
      <c r="Y142" s="63">
        <v>0.15440000000000001</v>
      </c>
      <c r="Z142" s="63">
        <v>0.219</v>
      </c>
      <c r="AA142" s="63">
        <v>4.8599999999999997E-2</v>
      </c>
      <c r="AB142" s="63">
        <v>1.1566000000000001</v>
      </c>
      <c r="AC142" s="63">
        <v>0.1145</v>
      </c>
      <c r="AD142" s="63">
        <f t="shared" si="8"/>
        <v>89.296299999999988</v>
      </c>
    </row>
    <row r="143" spans="1:30" s="64" customFormat="1" x14ac:dyDescent="0.25">
      <c r="A143" s="59" t="s">
        <v>57</v>
      </c>
      <c r="B143" s="60" t="s">
        <v>226</v>
      </c>
      <c r="C143" s="60">
        <v>4</v>
      </c>
      <c r="D143" s="61">
        <v>1200</v>
      </c>
      <c r="E143" s="61">
        <v>96</v>
      </c>
      <c r="F143" s="62">
        <f t="shared" si="0"/>
        <v>6.7888662593346911</v>
      </c>
      <c r="G143" s="62" t="s">
        <v>27</v>
      </c>
      <c r="H143" s="63">
        <v>56.025599999999997</v>
      </c>
      <c r="I143" s="63">
        <v>0.38619999999999999</v>
      </c>
      <c r="J143" s="63">
        <v>0.59370000000000001</v>
      </c>
      <c r="K143" s="63">
        <v>4.3400000000000001E-2</v>
      </c>
      <c r="L143" s="63">
        <v>14.616300000000001</v>
      </c>
      <c r="M143" s="63">
        <v>0.32440000000000002</v>
      </c>
      <c r="N143" s="63">
        <v>3.0173000000000001</v>
      </c>
      <c r="O143" s="63">
        <v>0.1426</v>
      </c>
      <c r="P143" s="63">
        <v>3.3174999999999999</v>
      </c>
      <c r="Q143" s="63">
        <v>6.0900000000000003E-2</v>
      </c>
      <c r="R143" s="63">
        <v>1.6500000000000001E-2</v>
      </c>
      <c r="S143" s="63">
        <v>4.1700000000000001E-2</v>
      </c>
      <c r="T143" s="63">
        <v>4.0172999999999996</v>
      </c>
      <c r="U143" s="63">
        <v>0.1222</v>
      </c>
      <c r="V143" s="63">
        <v>1.5490999999999999</v>
      </c>
      <c r="W143" s="63">
        <v>0.1464</v>
      </c>
      <c r="X143" s="63">
        <v>4.8792</v>
      </c>
      <c r="Y143" s="63">
        <v>0.1532</v>
      </c>
      <c r="Z143" s="63">
        <v>0.2198</v>
      </c>
      <c r="AA143" s="63">
        <v>5.0500000000000003E-2</v>
      </c>
      <c r="AB143" s="63">
        <v>1.2237</v>
      </c>
      <c r="AC143" s="63">
        <v>0.1171</v>
      </c>
      <c r="AD143" s="63">
        <f t="shared" si="8"/>
        <v>89.475999999999985</v>
      </c>
    </row>
    <row r="144" spans="1:30" s="64" customFormat="1" x14ac:dyDescent="0.25">
      <c r="A144" s="59" t="s">
        <v>57</v>
      </c>
      <c r="B144" s="60" t="s">
        <v>226</v>
      </c>
      <c r="C144" s="60">
        <v>5</v>
      </c>
      <c r="D144" s="61">
        <v>1200</v>
      </c>
      <c r="E144" s="61">
        <v>96</v>
      </c>
      <c r="F144" s="62">
        <f t="shared" si="0"/>
        <v>6.7888662593346911</v>
      </c>
      <c r="G144" s="62" t="s">
        <v>27</v>
      </c>
      <c r="H144" s="63">
        <v>56.346200000000003</v>
      </c>
      <c r="I144" s="63">
        <v>0.38790000000000002</v>
      </c>
      <c r="J144" s="63">
        <v>0.58360000000000001</v>
      </c>
      <c r="K144" s="63">
        <v>4.2599999999999999E-2</v>
      </c>
      <c r="L144" s="63">
        <v>14.7887</v>
      </c>
      <c r="M144" s="63">
        <v>0.32600000000000001</v>
      </c>
      <c r="N144" s="63">
        <v>3.0206</v>
      </c>
      <c r="O144" s="63">
        <v>0.1434</v>
      </c>
      <c r="P144" s="63">
        <v>3.1945000000000001</v>
      </c>
      <c r="Q144" s="63">
        <v>5.9700000000000003E-2</v>
      </c>
      <c r="R144" s="63">
        <v>5.0599999999999999E-2</v>
      </c>
      <c r="S144" s="63">
        <v>4.1799999999999997E-2</v>
      </c>
      <c r="T144" s="63">
        <v>3.9554999999999998</v>
      </c>
      <c r="U144" s="63">
        <v>0.12139999999999999</v>
      </c>
      <c r="V144" s="63">
        <v>1.3447</v>
      </c>
      <c r="W144" s="63">
        <v>0.1381</v>
      </c>
      <c r="X144" s="63">
        <v>5.0163000000000002</v>
      </c>
      <c r="Y144" s="63">
        <v>0.155</v>
      </c>
      <c r="Z144" s="63">
        <v>0.26869999999999999</v>
      </c>
      <c r="AA144" s="63">
        <v>5.2299999999999999E-2</v>
      </c>
      <c r="AB144" s="63">
        <v>1.1243000000000001</v>
      </c>
      <c r="AC144" s="63">
        <v>0.1135</v>
      </c>
      <c r="AD144" s="63">
        <f t="shared" si="8"/>
        <v>89.693700000000021</v>
      </c>
    </row>
    <row r="145" spans="1:30" s="19" customFormat="1" x14ac:dyDescent="0.25">
      <c r="A145" s="12" t="s">
        <v>58</v>
      </c>
      <c r="B145" s="13">
        <v>15386</v>
      </c>
      <c r="C145" s="13">
        <v>2</v>
      </c>
      <c r="D145" s="6">
        <v>1200</v>
      </c>
      <c r="E145" s="6">
        <v>150</v>
      </c>
      <c r="F145" s="7">
        <f t="shared" si="0"/>
        <v>6.7888662593346911</v>
      </c>
      <c r="G145" s="7" t="s">
        <v>46</v>
      </c>
      <c r="H145" s="15">
        <v>46.641300000000001</v>
      </c>
      <c r="I145" s="15">
        <v>0.33960000000000001</v>
      </c>
      <c r="J145" s="15">
        <v>2.0419</v>
      </c>
      <c r="K145" s="15">
        <v>6.9800000000000001E-2</v>
      </c>
      <c r="L145" s="15">
        <v>15.038399999999999</v>
      </c>
      <c r="M145" s="15">
        <v>0.33460000000000001</v>
      </c>
      <c r="N145" s="15">
        <v>3.5019999999999998</v>
      </c>
      <c r="O145" s="15">
        <v>0.15290000000000001</v>
      </c>
      <c r="P145" s="15">
        <v>5.8994</v>
      </c>
      <c r="Q145" s="15">
        <v>8.14E-2</v>
      </c>
      <c r="R145" s="15">
        <v>-1.6500000000000001E-2</v>
      </c>
      <c r="S145" s="15">
        <v>4.1200000000000001E-2</v>
      </c>
      <c r="T145" s="15">
        <v>9.5389999999999997</v>
      </c>
      <c r="U145" s="15">
        <v>0.187</v>
      </c>
      <c r="V145" s="15">
        <v>1.5378000000000001</v>
      </c>
      <c r="W145" s="15">
        <v>0.1487</v>
      </c>
      <c r="X145" s="15">
        <v>0.59630000000000005</v>
      </c>
      <c r="Y145" s="15">
        <v>5.5399999999999998E-2</v>
      </c>
      <c r="Z145" s="15">
        <v>0.55910000000000004</v>
      </c>
      <c r="AA145" s="15">
        <v>6.8000000000000005E-2</v>
      </c>
      <c r="AB145" s="15">
        <v>0.4869</v>
      </c>
      <c r="AC145" s="15">
        <v>8.4699999999999998E-2</v>
      </c>
      <c r="AD145" s="15">
        <f t="shared" si="8"/>
        <v>85.825600000000009</v>
      </c>
    </row>
    <row r="146" spans="1:30" s="19" customFormat="1" x14ac:dyDescent="0.25">
      <c r="A146" s="12" t="s">
        <v>58</v>
      </c>
      <c r="B146" s="13">
        <v>15386</v>
      </c>
      <c r="C146" s="13">
        <v>3</v>
      </c>
      <c r="D146" s="6">
        <v>1200</v>
      </c>
      <c r="E146" s="6">
        <v>150</v>
      </c>
      <c r="F146" s="7">
        <f t="shared" si="0"/>
        <v>6.7888662593346911</v>
      </c>
      <c r="G146" s="7" t="s">
        <v>46</v>
      </c>
      <c r="H146" s="15">
        <v>45.433999999999997</v>
      </c>
      <c r="I146" s="15">
        <v>0.33339999999999997</v>
      </c>
      <c r="J146" s="15">
        <v>2.0413000000000001</v>
      </c>
      <c r="K146" s="15">
        <v>6.9900000000000004E-2</v>
      </c>
      <c r="L146" s="15">
        <v>14.6823</v>
      </c>
      <c r="M146" s="15">
        <v>0.33110000000000001</v>
      </c>
      <c r="N146" s="15">
        <v>3.8102</v>
      </c>
      <c r="O146" s="15">
        <v>0.15840000000000001</v>
      </c>
      <c r="P146" s="15">
        <v>6.3609999999999998</v>
      </c>
      <c r="Q146" s="15">
        <v>8.4699999999999998E-2</v>
      </c>
      <c r="R146" s="15">
        <v>9.9000000000000008E-3</v>
      </c>
      <c r="S146" s="15">
        <v>4.2999999999999997E-2</v>
      </c>
      <c r="T146" s="15">
        <v>9.2553999999999998</v>
      </c>
      <c r="U146" s="15">
        <v>0.18340000000000001</v>
      </c>
      <c r="V146" s="15">
        <v>1.5562</v>
      </c>
      <c r="W146" s="15">
        <v>0.14940000000000001</v>
      </c>
      <c r="X146" s="15">
        <v>0.66769999999999996</v>
      </c>
      <c r="Y146" s="15">
        <v>5.8900000000000001E-2</v>
      </c>
      <c r="Z146" s="15">
        <v>0.63800000000000001</v>
      </c>
      <c r="AA146" s="15">
        <v>7.1099999999999997E-2</v>
      </c>
      <c r="AB146" s="15">
        <v>0.57850000000000001</v>
      </c>
      <c r="AC146" s="15">
        <v>8.77E-2</v>
      </c>
      <c r="AD146" s="15">
        <f t="shared" si="8"/>
        <v>85.034500000000008</v>
      </c>
    </row>
    <row r="147" spans="1:30" s="19" customFormat="1" x14ac:dyDescent="0.25">
      <c r="A147" s="12" t="s">
        <v>58</v>
      </c>
      <c r="B147" s="13">
        <v>15386</v>
      </c>
      <c r="C147" s="13">
        <v>4</v>
      </c>
      <c r="D147" s="6">
        <v>1200</v>
      </c>
      <c r="E147" s="6">
        <v>150</v>
      </c>
      <c r="F147" s="7">
        <f t="shared" si="0"/>
        <v>6.7888662593346911</v>
      </c>
      <c r="G147" s="7" t="s">
        <v>46</v>
      </c>
      <c r="H147" s="15">
        <v>45.552100000000003</v>
      </c>
      <c r="I147" s="15">
        <v>0.33389999999999997</v>
      </c>
      <c r="J147" s="15">
        <v>2.0520999999999998</v>
      </c>
      <c r="K147" s="15">
        <v>7.0199999999999999E-2</v>
      </c>
      <c r="L147" s="15">
        <v>14.957800000000001</v>
      </c>
      <c r="M147" s="15">
        <v>0.3337</v>
      </c>
      <c r="N147" s="15">
        <v>3.4603999999999999</v>
      </c>
      <c r="O147" s="15">
        <v>0.152</v>
      </c>
      <c r="P147" s="15">
        <v>5.8456000000000001</v>
      </c>
      <c r="Q147" s="15">
        <v>8.0799999999999997E-2</v>
      </c>
      <c r="R147" s="15">
        <v>2.53E-2</v>
      </c>
      <c r="S147" s="15">
        <v>4.1200000000000001E-2</v>
      </c>
      <c r="T147" s="15">
        <v>9.6366999999999994</v>
      </c>
      <c r="U147" s="15">
        <v>0.18779999999999999</v>
      </c>
      <c r="V147" s="15">
        <v>1.5278</v>
      </c>
      <c r="W147" s="15">
        <v>0.1479</v>
      </c>
      <c r="X147" s="15">
        <v>0.65290000000000004</v>
      </c>
      <c r="Y147" s="15">
        <v>5.7299999999999997E-2</v>
      </c>
      <c r="Z147" s="15">
        <v>0.60409999999999997</v>
      </c>
      <c r="AA147" s="15">
        <v>6.93E-2</v>
      </c>
      <c r="AB147" s="15">
        <v>0.57530000000000003</v>
      </c>
      <c r="AC147" s="15">
        <v>8.8499999999999995E-2</v>
      </c>
      <c r="AD147" s="15">
        <f t="shared" si="8"/>
        <v>84.890100000000018</v>
      </c>
    </row>
    <row r="148" spans="1:30" s="64" customFormat="1" x14ac:dyDescent="0.25">
      <c r="A148" s="59" t="s">
        <v>59</v>
      </c>
      <c r="B148" s="60" t="s">
        <v>229</v>
      </c>
      <c r="C148" s="60">
        <v>1</v>
      </c>
      <c r="D148" s="61">
        <v>1200</v>
      </c>
      <c r="E148" s="61">
        <v>150</v>
      </c>
      <c r="F148" s="62">
        <f>10^4/(D148+273)</f>
        <v>6.7888662593346911</v>
      </c>
      <c r="G148" s="62" t="s">
        <v>46</v>
      </c>
      <c r="H148" s="63">
        <v>45.807200000000002</v>
      </c>
      <c r="I148" s="63">
        <v>0.3362</v>
      </c>
      <c r="J148" s="63">
        <v>0.5363</v>
      </c>
      <c r="K148" s="63">
        <v>4.1000000000000002E-2</v>
      </c>
      <c r="L148" s="63">
        <v>21.217099999999999</v>
      </c>
      <c r="M148" s="63">
        <v>0.39479999999999998</v>
      </c>
      <c r="N148" s="63">
        <v>1.3331</v>
      </c>
      <c r="O148" s="63">
        <v>9.9500000000000005E-2</v>
      </c>
      <c r="P148" s="63">
        <v>5.5064000000000002</v>
      </c>
      <c r="Q148" s="63">
        <v>7.7499999999999999E-2</v>
      </c>
      <c r="R148" s="63">
        <v>2.76E-2</v>
      </c>
      <c r="S148" s="63">
        <v>4.1399999999999999E-2</v>
      </c>
      <c r="T148" s="63">
        <v>11.152100000000001</v>
      </c>
      <c r="U148" s="63">
        <v>0.20280000000000001</v>
      </c>
      <c r="V148" s="63">
        <v>0.36699999999999999</v>
      </c>
      <c r="W148" s="63">
        <v>7.7899999999999997E-2</v>
      </c>
      <c r="X148" s="63">
        <v>1.1109</v>
      </c>
      <c r="Y148" s="63">
        <v>7.3499999999999996E-2</v>
      </c>
      <c r="Z148" s="63">
        <v>0.19109999999999999</v>
      </c>
      <c r="AA148" s="63">
        <v>4.7500000000000001E-2</v>
      </c>
      <c r="AB148" s="63">
        <v>0.38979999999999998</v>
      </c>
      <c r="AC148" s="63">
        <v>7.7200000000000005E-2</v>
      </c>
      <c r="AD148" s="63">
        <v>87.6387</v>
      </c>
    </row>
    <row r="149" spans="1:30" s="64" customFormat="1" x14ac:dyDescent="0.25">
      <c r="A149" s="59" t="s">
        <v>59</v>
      </c>
      <c r="B149" s="60" t="s">
        <v>229</v>
      </c>
      <c r="C149" s="60">
        <v>2</v>
      </c>
      <c r="D149" s="61">
        <v>1200</v>
      </c>
      <c r="E149" s="61">
        <v>150</v>
      </c>
      <c r="F149" s="62">
        <f>10^4/(D149+273)</f>
        <v>6.7888662593346911</v>
      </c>
      <c r="G149" s="62" t="s">
        <v>46</v>
      </c>
      <c r="H149" s="63">
        <v>45.203099999999999</v>
      </c>
      <c r="I149" s="63">
        <v>0.33300000000000002</v>
      </c>
      <c r="J149" s="63">
        <v>0.49580000000000002</v>
      </c>
      <c r="K149" s="63">
        <v>4.1500000000000002E-2</v>
      </c>
      <c r="L149" s="63">
        <v>21.3552</v>
      </c>
      <c r="M149" s="63">
        <v>0.39589999999999997</v>
      </c>
      <c r="N149" s="63">
        <v>1.3126</v>
      </c>
      <c r="O149" s="63">
        <v>9.8500000000000004E-2</v>
      </c>
      <c r="P149" s="63">
        <v>5.4676</v>
      </c>
      <c r="Q149" s="63">
        <v>7.7200000000000005E-2</v>
      </c>
      <c r="R149" s="63">
        <v>1.0999999999999999E-2</v>
      </c>
      <c r="S149" s="63">
        <v>4.2000000000000003E-2</v>
      </c>
      <c r="T149" s="63">
        <v>11.2463</v>
      </c>
      <c r="U149" s="63">
        <v>0.2036</v>
      </c>
      <c r="V149" s="63">
        <v>0.31540000000000001</v>
      </c>
      <c r="W149" s="63">
        <v>7.5700000000000003E-2</v>
      </c>
      <c r="X149" s="63">
        <v>1.0907</v>
      </c>
      <c r="Y149" s="63">
        <v>7.2800000000000004E-2</v>
      </c>
      <c r="Z149" s="63">
        <v>0.2157</v>
      </c>
      <c r="AA149" s="63">
        <v>4.8899999999999999E-2</v>
      </c>
      <c r="AB149" s="63">
        <v>0.45979999999999999</v>
      </c>
      <c r="AC149" s="63">
        <v>8.1600000000000006E-2</v>
      </c>
      <c r="AD149" s="63">
        <v>87.173100000000005</v>
      </c>
    </row>
    <row r="150" spans="1:30" s="64" customFormat="1" x14ac:dyDescent="0.25">
      <c r="A150" s="59" t="s">
        <v>59</v>
      </c>
      <c r="B150" s="60" t="s">
        <v>229</v>
      </c>
      <c r="C150" s="60">
        <v>3</v>
      </c>
      <c r="D150" s="61">
        <v>1200</v>
      </c>
      <c r="E150" s="61">
        <v>150</v>
      </c>
      <c r="F150" s="62">
        <f>10^4/(D150+273)</f>
        <v>6.7888662593346911</v>
      </c>
      <c r="G150" s="62" t="s">
        <v>46</v>
      </c>
      <c r="H150" s="63">
        <v>44.531399999999998</v>
      </c>
      <c r="I150" s="63">
        <v>0.3296</v>
      </c>
      <c r="J150" s="63">
        <v>0.55330000000000001</v>
      </c>
      <c r="K150" s="63">
        <v>4.3099999999999999E-2</v>
      </c>
      <c r="L150" s="63">
        <v>21.4451</v>
      </c>
      <c r="M150" s="63">
        <v>0.39729999999999999</v>
      </c>
      <c r="N150" s="63">
        <v>1.4097999999999999</v>
      </c>
      <c r="O150" s="63">
        <v>0.1009</v>
      </c>
      <c r="P150" s="63">
        <v>5.4787999999999997</v>
      </c>
      <c r="Q150" s="63">
        <v>7.7399999999999997E-2</v>
      </c>
      <c r="R150" s="63">
        <v>2.2000000000000001E-3</v>
      </c>
      <c r="S150" s="63">
        <v>4.2299999999999997E-2</v>
      </c>
      <c r="T150" s="63">
        <v>11.162800000000001</v>
      </c>
      <c r="U150" s="63">
        <v>0.20280000000000001</v>
      </c>
      <c r="V150" s="63">
        <v>0.38879999999999998</v>
      </c>
      <c r="W150" s="63">
        <v>8.1000000000000003E-2</v>
      </c>
      <c r="X150" s="63">
        <v>1.1249</v>
      </c>
      <c r="Y150" s="63">
        <v>7.4099999999999999E-2</v>
      </c>
      <c r="Z150" s="63">
        <v>0.16789999999999999</v>
      </c>
      <c r="AA150" s="63">
        <v>4.65E-2</v>
      </c>
      <c r="AB150" s="63">
        <v>0.44740000000000002</v>
      </c>
      <c r="AC150" s="63">
        <v>7.9000000000000001E-2</v>
      </c>
      <c r="AD150" s="63">
        <v>86.712199999999996</v>
      </c>
    </row>
    <row r="151" spans="1:30" s="19" customFormat="1" x14ac:dyDescent="0.25">
      <c r="A151" s="12" t="s">
        <v>60</v>
      </c>
      <c r="B151" s="13" t="s">
        <v>226</v>
      </c>
      <c r="C151" s="13">
        <v>1</v>
      </c>
      <c r="D151" s="6">
        <v>1200</v>
      </c>
      <c r="E151" s="6">
        <v>150</v>
      </c>
      <c r="F151" s="7">
        <f t="shared" si="0"/>
        <v>6.7888662593346911</v>
      </c>
      <c r="G151" s="7" t="s">
        <v>46</v>
      </c>
      <c r="H151" s="15">
        <v>58.071100000000001</v>
      </c>
      <c r="I151" s="15">
        <v>0.39689999999999998</v>
      </c>
      <c r="J151" s="15">
        <v>0.59409999999999996</v>
      </c>
      <c r="K151" s="15">
        <v>4.3299999999999998E-2</v>
      </c>
      <c r="L151" s="15">
        <v>15.289300000000001</v>
      </c>
      <c r="M151" s="15">
        <v>0.33040000000000003</v>
      </c>
      <c r="N151" s="15">
        <v>0.3987</v>
      </c>
      <c r="O151" s="15">
        <v>6.5699999999999995E-2</v>
      </c>
      <c r="P151" s="15">
        <v>3.3472</v>
      </c>
      <c r="Q151" s="15">
        <v>6.0499999999999998E-2</v>
      </c>
      <c r="R151" s="15">
        <v>2.2000000000000001E-3</v>
      </c>
      <c r="S151" s="15">
        <v>4.1200000000000001E-2</v>
      </c>
      <c r="T151" s="15">
        <v>4.0948000000000002</v>
      </c>
      <c r="U151" s="15">
        <v>0.1232</v>
      </c>
      <c r="V151" s="15">
        <v>1.4822</v>
      </c>
      <c r="W151" s="15">
        <v>0.14080000000000001</v>
      </c>
      <c r="X151" s="15">
        <v>5.1361999999999997</v>
      </c>
      <c r="Y151" s="15">
        <v>0.15759999999999999</v>
      </c>
      <c r="Z151" s="15">
        <v>0.2288</v>
      </c>
      <c r="AA151" s="15">
        <v>4.5400000000000003E-2</v>
      </c>
      <c r="AB151" s="15">
        <v>0.2195</v>
      </c>
      <c r="AC151" s="15">
        <v>7.0800000000000002E-2</v>
      </c>
      <c r="AD151" s="15">
        <f t="shared" ref="AD151:AD167" si="9">SUM(H151,J151,L151,N151,P151,R151,T151,V151,X151,Z151,AB151)</f>
        <v>88.864100000000022</v>
      </c>
    </row>
    <row r="152" spans="1:30" s="19" customFormat="1" x14ac:dyDescent="0.25">
      <c r="A152" s="12" t="s">
        <v>60</v>
      </c>
      <c r="B152" s="13" t="s">
        <v>226</v>
      </c>
      <c r="C152" s="13">
        <v>2</v>
      </c>
      <c r="D152" s="6">
        <v>1200</v>
      </c>
      <c r="E152" s="6">
        <v>150</v>
      </c>
      <c r="F152" s="7">
        <f t="shared" ref="F152:F167" si="10">10^4/(D152+273)</f>
        <v>6.7888662593346911</v>
      </c>
      <c r="G152" s="7" t="s">
        <v>46</v>
      </c>
      <c r="H152" s="15">
        <v>58.1053</v>
      </c>
      <c r="I152" s="15">
        <v>0.3972</v>
      </c>
      <c r="J152" s="15">
        <v>0.60499999999999998</v>
      </c>
      <c r="K152" s="15">
        <v>4.2900000000000001E-2</v>
      </c>
      <c r="L152" s="15">
        <v>15.493499999999999</v>
      </c>
      <c r="M152" s="15">
        <v>0.33239999999999997</v>
      </c>
      <c r="N152" s="15">
        <v>0.49380000000000002</v>
      </c>
      <c r="O152" s="15">
        <v>6.83E-2</v>
      </c>
      <c r="P152" s="15">
        <v>3.3344</v>
      </c>
      <c r="Q152" s="15">
        <v>6.0299999999999999E-2</v>
      </c>
      <c r="R152" s="15">
        <v>4.4000000000000003E-3</v>
      </c>
      <c r="S152" s="15">
        <v>4.1300000000000003E-2</v>
      </c>
      <c r="T152" s="15">
        <v>4.1496000000000004</v>
      </c>
      <c r="U152" s="15">
        <v>0.12379999999999999</v>
      </c>
      <c r="V152" s="15">
        <v>1.5434000000000001</v>
      </c>
      <c r="W152" s="15">
        <v>0.1444</v>
      </c>
      <c r="X152" s="15">
        <v>5.0327999999999999</v>
      </c>
      <c r="Y152" s="15">
        <v>0.156</v>
      </c>
      <c r="Z152" s="15">
        <v>0.30009999999999998</v>
      </c>
      <c r="AA152" s="15">
        <v>4.9399999999999999E-2</v>
      </c>
      <c r="AB152" s="15">
        <v>0.24790000000000001</v>
      </c>
      <c r="AC152" s="15">
        <v>6.7100000000000007E-2</v>
      </c>
      <c r="AD152" s="15">
        <f t="shared" si="9"/>
        <v>89.310200000000009</v>
      </c>
    </row>
    <row r="153" spans="1:30" s="19" customFormat="1" x14ac:dyDescent="0.25">
      <c r="A153" s="12" t="s">
        <v>60</v>
      </c>
      <c r="B153" s="13" t="s">
        <v>226</v>
      </c>
      <c r="C153" s="13">
        <v>3</v>
      </c>
      <c r="D153" s="6">
        <v>1200</v>
      </c>
      <c r="E153" s="6">
        <v>150</v>
      </c>
      <c r="F153" s="7">
        <f t="shared" si="10"/>
        <v>6.7888662593346911</v>
      </c>
      <c r="G153" s="7" t="s">
        <v>46</v>
      </c>
      <c r="H153" s="15">
        <v>59.011000000000003</v>
      </c>
      <c r="I153" s="15">
        <v>0.4017</v>
      </c>
      <c r="J153" s="15">
        <v>0.57569999999999999</v>
      </c>
      <c r="K153" s="15">
        <v>4.2799999999999998E-2</v>
      </c>
      <c r="L153" s="15">
        <v>15.3916</v>
      </c>
      <c r="M153" s="15">
        <v>0.33119999999999999</v>
      </c>
      <c r="N153" s="15">
        <v>0.47139999999999999</v>
      </c>
      <c r="O153" s="15">
        <v>6.8000000000000005E-2</v>
      </c>
      <c r="P153" s="15">
        <v>3.3313999999999999</v>
      </c>
      <c r="Q153" s="15">
        <v>6.0400000000000002E-2</v>
      </c>
      <c r="R153" s="15">
        <v>-5.4999999999999997E-3</v>
      </c>
      <c r="S153" s="15">
        <v>4.24E-2</v>
      </c>
      <c r="T153" s="15">
        <v>4.1176000000000004</v>
      </c>
      <c r="U153" s="15">
        <v>0.12379999999999999</v>
      </c>
      <c r="V153" s="15">
        <v>1.5803</v>
      </c>
      <c r="W153" s="15">
        <v>0.14530000000000001</v>
      </c>
      <c r="X153" s="15">
        <v>5.1440999999999999</v>
      </c>
      <c r="Y153" s="15">
        <v>0.1578</v>
      </c>
      <c r="Z153" s="15">
        <v>0.25219999999999998</v>
      </c>
      <c r="AA153" s="15">
        <v>4.7500000000000001E-2</v>
      </c>
      <c r="AB153" s="15">
        <v>0.2712</v>
      </c>
      <c r="AC153" s="15">
        <v>7.0199999999999999E-2</v>
      </c>
      <c r="AD153" s="15">
        <f t="shared" si="9"/>
        <v>90.140999999999991</v>
      </c>
    </row>
    <row r="154" spans="1:30" s="19" customFormat="1" x14ac:dyDescent="0.25">
      <c r="A154" s="12" t="s">
        <v>60</v>
      </c>
      <c r="B154" s="13" t="s">
        <v>226</v>
      </c>
      <c r="C154" s="13">
        <v>4</v>
      </c>
      <c r="D154" s="6">
        <v>1200</v>
      </c>
      <c r="E154" s="6">
        <v>150</v>
      </c>
      <c r="F154" s="7">
        <f t="shared" si="10"/>
        <v>6.7888662593346911</v>
      </c>
      <c r="G154" s="7" t="s">
        <v>46</v>
      </c>
      <c r="H154" s="15">
        <v>59.6066</v>
      </c>
      <c r="I154" s="15">
        <v>0.40450000000000003</v>
      </c>
      <c r="J154" s="15">
        <v>0.57940000000000003</v>
      </c>
      <c r="K154" s="15">
        <v>4.2999999999999997E-2</v>
      </c>
      <c r="L154" s="15">
        <v>15.333</v>
      </c>
      <c r="M154" s="15">
        <v>0.33050000000000002</v>
      </c>
      <c r="N154" s="15">
        <v>0.46329999999999999</v>
      </c>
      <c r="O154" s="15">
        <v>6.9000000000000006E-2</v>
      </c>
      <c r="P154" s="15">
        <v>3.2906</v>
      </c>
      <c r="Q154" s="15">
        <v>0.06</v>
      </c>
      <c r="R154" s="15">
        <v>-4.4000000000000003E-3</v>
      </c>
      <c r="S154" s="15">
        <v>4.0399999999999998E-2</v>
      </c>
      <c r="T154" s="15">
        <v>4.2264999999999997</v>
      </c>
      <c r="U154" s="15">
        <v>0.12509999999999999</v>
      </c>
      <c r="V154" s="15">
        <v>1.5731999999999999</v>
      </c>
      <c r="W154" s="15">
        <v>0.1454</v>
      </c>
      <c r="X154" s="15">
        <v>5.1056999999999997</v>
      </c>
      <c r="Y154" s="15">
        <v>0.15690000000000001</v>
      </c>
      <c r="Z154" s="15">
        <v>0.2293</v>
      </c>
      <c r="AA154" s="15">
        <v>4.8000000000000001E-2</v>
      </c>
      <c r="AB154" s="15">
        <v>0.25159999999999999</v>
      </c>
      <c r="AC154" s="15">
        <v>6.7599999999999993E-2</v>
      </c>
      <c r="AD154" s="15">
        <f t="shared" si="9"/>
        <v>90.654799999999994</v>
      </c>
    </row>
    <row r="155" spans="1:30" s="19" customFormat="1" x14ac:dyDescent="0.25">
      <c r="A155" s="12" t="s">
        <v>60</v>
      </c>
      <c r="B155" s="13" t="s">
        <v>226</v>
      </c>
      <c r="C155" s="13">
        <v>5</v>
      </c>
      <c r="D155" s="6">
        <v>1200</v>
      </c>
      <c r="E155" s="6">
        <v>150</v>
      </c>
      <c r="F155" s="7">
        <f t="shared" si="10"/>
        <v>6.7888662593346911</v>
      </c>
      <c r="G155" s="7" t="s">
        <v>46</v>
      </c>
      <c r="H155" s="15">
        <v>60.320999999999998</v>
      </c>
      <c r="I155" s="15">
        <v>0.40820000000000001</v>
      </c>
      <c r="J155" s="15">
        <v>0.63270000000000004</v>
      </c>
      <c r="K155" s="15">
        <v>4.4299999999999999E-2</v>
      </c>
      <c r="L155" s="15">
        <v>15.4269</v>
      </c>
      <c r="M155" s="15">
        <v>0.33129999999999998</v>
      </c>
      <c r="N155" s="15">
        <v>0.48139999999999999</v>
      </c>
      <c r="O155" s="15">
        <v>6.7799999999999999E-2</v>
      </c>
      <c r="P155" s="15">
        <v>3.3456999999999999</v>
      </c>
      <c r="Q155" s="15">
        <v>6.0699999999999997E-2</v>
      </c>
      <c r="R155" s="15">
        <v>1.55E-2</v>
      </c>
      <c r="S155" s="15">
        <v>4.07E-2</v>
      </c>
      <c r="T155" s="15">
        <v>4.1577000000000002</v>
      </c>
      <c r="U155" s="15">
        <v>0.12379999999999999</v>
      </c>
      <c r="V155" s="15">
        <v>1.4983</v>
      </c>
      <c r="W155" s="15">
        <v>0.1416</v>
      </c>
      <c r="X155" s="15">
        <v>5.1060999999999996</v>
      </c>
      <c r="Y155" s="15">
        <v>0.15690000000000001</v>
      </c>
      <c r="Z155" s="15">
        <v>0.26500000000000001</v>
      </c>
      <c r="AA155" s="15">
        <v>4.8300000000000003E-2</v>
      </c>
      <c r="AB155" s="15">
        <v>0.2392</v>
      </c>
      <c r="AC155" s="15">
        <v>6.59E-2</v>
      </c>
      <c r="AD155" s="15">
        <f t="shared" si="9"/>
        <v>91.489499999999992</v>
      </c>
    </row>
    <row r="156" spans="1:30" s="64" customFormat="1" x14ac:dyDescent="0.25">
      <c r="A156" s="59" t="s">
        <v>61</v>
      </c>
      <c r="B156" s="60" t="s">
        <v>227</v>
      </c>
      <c r="C156" s="60">
        <v>1</v>
      </c>
      <c r="D156" s="61">
        <v>1300</v>
      </c>
      <c r="E156" s="61">
        <v>96</v>
      </c>
      <c r="F156" s="62">
        <f t="shared" si="10"/>
        <v>6.3572790845518119</v>
      </c>
      <c r="G156" s="61" t="s">
        <v>27</v>
      </c>
      <c r="H156" s="63">
        <v>65.688500000000005</v>
      </c>
      <c r="I156" s="63">
        <v>0.31830000000000003</v>
      </c>
      <c r="J156" s="63">
        <v>0.64470000000000005</v>
      </c>
      <c r="K156" s="63">
        <v>4.4999999999999998E-2</v>
      </c>
      <c r="L156" s="63">
        <v>11.0808</v>
      </c>
      <c r="M156" s="63">
        <v>0.2833</v>
      </c>
      <c r="N156" s="63">
        <v>12.565099999999999</v>
      </c>
      <c r="O156" s="63">
        <v>0.29370000000000002</v>
      </c>
      <c r="P156" s="63">
        <v>0.77259999999999995</v>
      </c>
      <c r="Q156" s="63">
        <v>3.2500000000000001E-2</v>
      </c>
      <c r="R156" s="63">
        <v>0.65369999999999995</v>
      </c>
      <c r="S156" s="63">
        <v>7.6100000000000001E-2</v>
      </c>
      <c r="T156" s="63">
        <v>1.0206</v>
      </c>
      <c r="U156" s="63">
        <v>6.4600000000000005E-2</v>
      </c>
      <c r="V156" s="63">
        <v>0.41489999999999999</v>
      </c>
      <c r="W156" s="63">
        <v>8.7999999999999995E-2</v>
      </c>
      <c r="X156" s="63">
        <v>5.0529000000000002</v>
      </c>
      <c r="Y156" s="63">
        <v>0.1552</v>
      </c>
      <c r="Z156" s="63">
        <v>4.7500000000000001E-2</v>
      </c>
      <c r="AA156" s="63">
        <v>3.3000000000000002E-2</v>
      </c>
      <c r="AB156" s="63">
        <v>1.8226</v>
      </c>
      <c r="AC156" s="63">
        <v>0.1376</v>
      </c>
      <c r="AD156" s="63">
        <f t="shared" si="9"/>
        <v>99.763899999999992</v>
      </c>
    </row>
    <row r="157" spans="1:30" s="64" customFormat="1" x14ac:dyDescent="0.25">
      <c r="A157" s="59" t="s">
        <v>61</v>
      </c>
      <c r="B157" s="60" t="s">
        <v>227</v>
      </c>
      <c r="C157" s="60">
        <v>2</v>
      </c>
      <c r="D157" s="61">
        <v>1300</v>
      </c>
      <c r="E157" s="61">
        <v>96</v>
      </c>
      <c r="F157" s="62">
        <f t="shared" si="10"/>
        <v>6.3572790845518119</v>
      </c>
      <c r="G157" s="61" t="s">
        <v>27</v>
      </c>
      <c r="H157" s="63">
        <v>65.846199999999996</v>
      </c>
      <c r="I157" s="63">
        <v>0.31879999999999997</v>
      </c>
      <c r="J157" s="63">
        <v>0.61939999999999995</v>
      </c>
      <c r="K157" s="63">
        <v>4.4200000000000003E-2</v>
      </c>
      <c r="L157" s="63">
        <v>11.1608</v>
      </c>
      <c r="M157" s="63">
        <v>0.28370000000000001</v>
      </c>
      <c r="N157" s="63">
        <v>12.6129</v>
      </c>
      <c r="O157" s="63">
        <v>0.29380000000000001</v>
      </c>
      <c r="P157" s="63">
        <v>0.79100000000000004</v>
      </c>
      <c r="Q157" s="63">
        <v>3.2899999999999999E-2</v>
      </c>
      <c r="R157" s="63">
        <v>0.66459999999999997</v>
      </c>
      <c r="S157" s="63">
        <v>7.6300000000000007E-2</v>
      </c>
      <c r="T157" s="63">
        <v>0.97689999999999999</v>
      </c>
      <c r="U157" s="63">
        <v>6.3399999999999998E-2</v>
      </c>
      <c r="V157" s="63">
        <v>0.4466</v>
      </c>
      <c r="W157" s="63">
        <v>9.2200000000000004E-2</v>
      </c>
      <c r="X157" s="63">
        <v>4.9884000000000004</v>
      </c>
      <c r="Y157" s="63">
        <v>0.1545</v>
      </c>
      <c r="Z157" s="63">
        <v>4.7999999999999996E-3</v>
      </c>
      <c r="AA157" s="63">
        <v>2.9700000000000001E-2</v>
      </c>
      <c r="AB157" s="63">
        <v>1.8205</v>
      </c>
      <c r="AC157" s="63">
        <v>0.13780000000000001</v>
      </c>
      <c r="AD157" s="63">
        <f t="shared" si="9"/>
        <v>99.932099999999977</v>
      </c>
    </row>
    <row r="158" spans="1:30" s="64" customFormat="1" x14ac:dyDescent="0.25">
      <c r="A158" s="59" t="s">
        <v>61</v>
      </c>
      <c r="B158" s="60" t="s">
        <v>227</v>
      </c>
      <c r="C158" s="60">
        <v>3</v>
      </c>
      <c r="D158" s="61">
        <v>1300</v>
      </c>
      <c r="E158" s="61">
        <v>96</v>
      </c>
      <c r="F158" s="62">
        <f t="shared" si="10"/>
        <v>6.3572790845518119</v>
      </c>
      <c r="G158" s="61" t="s">
        <v>27</v>
      </c>
      <c r="H158" s="63">
        <v>65.791600000000003</v>
      </c>
      <c r="I158" s="63">
        <v>0.31859999999999999</v>
      </c>
      <c r="J158" s="63">
        <v>0.65439999999999998</v>
      </c>
      <c r="K158" s="63">
        <v>4.4900000000000002E-2</v>
      </c>
      <c r="L158" s="63">
        <v>10.9701</v>
      </c>
      <c r="M158" s="63">
        <v>0.28160000000000002</v>
      </c>
      <c r="N158" s="63">
        <v>12.453900000000001</v>
      </c>
      <c r="O158" s="63">
        <v>0.29260000000000003</v>
      </c>
      <c r="P158" s="63">
        <v>0.80149999999999999</v>
      </c>
      <c r="Q158" s="63">
        <v>3.3300000000000003E-2</v>
      </c>
      <c r="R158" s="63">
        <v>0.64410000000000001</v>
      </c>
      <c r="S158" s="63">
        <v>7.5899999999999995E-2</v>
      </c>
      <c r="T158" s="63">
        <v>0.99929999999999997</v>
      </c>
      <c r="U158" s="63">
        <v>6.4399999999999999E-2</v>
      </c>
      <c r="V158" s="63">
        <v>0.45839999999999997</v>
      </c>
      <c r="W158" s="63">
        <v>9.1499999999999998E-2</v>
      </c>
      <c r="X158" s="63">
        <v>4.9036999999999997</v>
      </c>
      <c r="Y158" s="63">
        <v>0.1532</v>
      </c>
      <c r="Z158" s="63">
        <v>2.8299999999999999E-2</v>
      </c>
      <c r="AA158" s="63">
        <v>2.8799999999999999E-2</v>
      </c>
      <c r="AB158" s="63">
        <v>1.7038</v>
      </c>
      <c r="AC158" s="63">
        <v>0.13500000000000001</v>
      </c>
      <c r="AD158" s="63">
        <f t="shared" si="9"/>
        <v>99.409100000000009</v>
      </c>
    </row>
    <row r="159" spans="1:30" s="64" customFormat="1" x14ac:dyDescent="0.25">
      <c r="A159" s="59" t="s">
        <v>61</v>
      </c>
      <c r="B159" s="60" t="s">
        <v>227</v>
      </c>
      <c r="C159" s="60">
        <v>4</v>
      </c>
      <c r="D159" s="61">
        <v>1300</v>
      </c>
      <c r="E159" s="61">
        <v>96</v>
      </c>
      <c r="F159" s="62">
        <f t="shared" si="10"/>
        <v>6.3572790845518119</v>
      </c>
      <c r="G159" s="61" t="s">
        <v>27</v>
      </c>
      <c r="H159" s="63">
        <v>65.271799999999999</v>
      </c>
      <c r="I159" s="63">
        <v>0.31719999999999998</v>
      </c>
      <c r="J159" s="63">
        <v>0.66720000000000002</v>
      </c>
      <c r="K159" s="63">
        <v>4.5100000000000001E-2</v>
      </c>
      <c r="L159" s="63">
        <v>11.0693</v>
      </c>
      <c r="M159" s="63">
        <v>0.28289999999999998</v>
      </c>
      <c r="N159" s="63">
        <v>12.297800000000001</v>
      </c>
      <c r="O159" s="63">
        <v>0.2908</v>
      </c>
      <c r="P159" s="63">
        <v>0.80210000000000004</v>
      </c>
      <c r="Q159" s="63">
        <v>3.3000000000000002E-2</v>
      </c>
      <c r="R159" s="63">
        <v>0.6835</v>
      </c>
      <c r="S159" s="63">
        <v>7.3700000000000002E-2</v>
      </c>
      <c r="T159" s="63">
        <v>1.0605</v>
      </c>
      <c r="U159" s="63">
        <v>6.5699999999999995E-2</v>
      </c>
      <c r="V159" s="63">
        <v>0.4597</v>
      </c>
      <c r="W159" s="63">
        <v>9.1200000000000003E-2</v>
      </c>
      <c r="X159" s="63">
        <v>5.0566000000000004</v>
      </c>
      <c r="Y159" s="63">
        <v>0.15529999999999999</v>
      </c>
      <c r="Z159" s="63">
        <v>5.8999999999999999E-3</v>
      </c>
      <c r="AA159" s="63">
        <v>3.27E-2</v>
      </c>
      <c r="AB159" s="63">
        <v>1.9040999999999999</v>
      </c>
      <c r="AC159" s="63">
        <v>0.1394</v>
      </c>
      <c r="AD159" s="63">
        <f t="shared" si="9"/>
        <v>99.27849999999998</v>
      </c>
    </row>
    <row r="160" spans="1:30" s="64" customFormat="1" x14ac:dyDescent="0.25">
      <c r="A160" s="59" t="s">
        <v>61</v>
      </c>
      <c r="B160" s="60" t="s">
        <v>227</v>
      </c>
      <c r="C160" s="60">
        <v>5</v>
      </c>
      <c r="D160" s="61">
        <v>1300</v>
      </c>
      <c r="E160" s="61">
        <v>96</v>
      </c>
      <c r="F160" s="62">
        <f t="shared" si="10"/>
        <v>6.3572790845518119</v>
      </c>
      <c r="G160" s="61" t="s">
        <v>27</v>
      </c>
      <c r="H160" s="63">
        <v>65.585899999999995</v>
      </c>
      <c r="I160" s="63">
        <v>0.31790000000000002</v>
      </c>
      <c r="J160" s="63">
        <v>0.62129999999999996</v>
      </c>
      <c r="K160" s="63">
        <v>4.4699999999999997E-2</v>
      </c>
      <c r="L160" s="63">
        <v>10.9175</v>
      </c>
      <c r="M160" s="63">
        <v>0.28100000000000003</v>
      </c>
      <c r="N160" s="63">
        <v>12.4412</v>
      </c>
      <c r="O160" s="63">
        <v>0.29199999999999998</v>
      </c>
      <c r="P160" s="63">
        <v>0.83919999999999995</v>
      </c>
      <c r="Q160" s="63">
        <v>3.3300000000000003E-2</v>
      </c>
      <c r="R160" s="63">
        <v>0.67320000000000002</v>
      </c>
      <c r="S160" s="63">
        <v>7.7100000000000002E-2</v>
      </c>
      <c r="T160" s="63">
        <v>1.0106999999999999</v>
      </c>
      <c r="U160" s="63">
        <v>6.4100000000000004E-2</v>
      </c>
      <c r="V160" s="63">
        <v>0.43890000000000001</v>
      </c>
      <c r="W160" s="63">
        <v>8.9599999999999999E-2</v>
      </c>
      <c r="X160" s="63">
        <v>5.2340999999999998</v>
      </c>
      <c r="Y160" s="63">
        <v>0.1583</v>
      </c>
      <c r="Z160" s="63">
        <v>-2.1899999999999999E-2</v>
      </c>
      <c r="AA160" s="63">
        <v>3.5299999999999998E-2</v>
      </c>
      <c r="AB160" s="63">
        <v>1.7231000000000001</v>
      </c>
      <c r="AC160" s="63">
        <v>0.1348</v>
      </c>
      <c r="AD160" s="63">
        <f t="shared" si="9"/>
        <v>99.463200000000001</v>
      </c>
    </row>
    <row r="161" spans="1:31" s="19" customFormat="1" x14ac:dyDescent="0.25">
      <c r="A161" s="12" t="s">
        <v>62</v>
      </c>
      <c r="B161" s="13" t="s">
        <v>228</v>
      </c>
      <c r="C161" s="13">
        <v>1</v>
      </c>
      <c r="D161" s="6">
        <v>1300</v>
      </c>
      <c r="E161" s="6">
        <v>96</v>
      </c>
      <c r="F161" s="7">
        <f t="shared" si="10"/>
        <v>6.3572790845518119</v>
      </c>
      <c r="G161" s="6" t="s">
        <v>27</v>
      </c>
      <c r="H161" s="15">
        <v>47.404600000000002</v>
      </c>
      <c r="I161" s="15">
        <v>0.2671</v>
      </c>
      <c r="J161" s="15">
        <v>2.1046999999999998</v>
      </c>
      <c r="K161" s="15">
        <v>6.9900000000000004E-2</v>
      </c>
      <c r="L161" s="15">
        <v>11.259499999999999</v>
      </c>
      <c r="M161" s="15">
        <v>0.29270000000000002</v>
      </c>
      <c r="N161" s="15">
        <v>18.861799999999999</v>
      </c>
      <c r="O161" s="15">
        <v>0.36919999999999997</v>
      </c>
      <c r="P161" s="15">
        <v>2.5985</v>
      </c>
      <c r="Q161" s="15">
        <v>5.7299999999999997E-2</v>
      </c>
      <c r="R161" s="15">
        <v>0.59219999999999995</v>
      </c>
      <c r="S161" s="15">
        <v>7.4399999999999994E-2</v>
      </c>
      <c r="T161" s="15">
        <v>7.9043000000000001</v>
      </c>
      <c r="U161" s="15">
        <v>0.16750000000000001</v>
      </c>
      <c r="V161" s="15">
        <v>1.8048999999999999</v>
      </c>
      <c r="W161" s="15">
        <v>0.17430000000000001</v>
      </c>
      <c r="X161" s="15">
        <v>1.2706999999999999</v>
      </c>
      <c r="Y161" s="15">
        <v>7.6999999999999999E-2</v>
      </c>
      <c r="Z161" s="15">
        <v>0.60819999999999996</v>
      </c>
      <c r="AA161" s="15">
        <v>7.0400000000000004E-2</v>
      </c>
      <c r="AB161" s="15">
        <v>4.5274000000000001</v>
      </c>
      <c r="AC161" s="15">
        <v>0.20469999999999999</v>
      </c>
      <c r="AD161" s="15">
        <f t="shared" si="9"/>
        <v>98.936800000000019</v>
      </c>
    </row>
    <row r="162" spans="1:31" s="19" customFormat="1" x14ac:dyDescent="0.25">
      <c r="A162" s="12" t="s">
        <v>62</v>
      </c>
      <c r="B162" s="13" t="s">
        <v>228</v>
      </c>
      <c r="C162" s="13">
        <v>2</v>
      </c>
      <c r="D162" s="6">
        <v>1300</v>
      </c>
      <c r="E162" s="6">
        <v>96</v>
      </c>
      <c r="F162" s="7">
        <f t="shared" si="10"/>
        <v>6.3572790845518119</v>
      </c>
      <c r="G162" s="6" t="s">
        <v>27</v>
      </c>
      <c r="H162" s="15">
        <v>47.685600000000001</v>
      </c>
      <c r="I162" s="15">
        <v>0.26800000000000002</v>
      </c>
      <c r="J162" s="15">
        <v>2.0043000000000002</v>
      </c>
      <c r="K162" s="15">
        <v>6.8599999999999994E-2</v>
      </c>
      <c r="L162" s="15">
        <v>11.4231</v>
      </c>
      <c r="M162" s="15">
        <v>0.2949</v>
      </c>
      <c r="N162" s="15">
        <v>18.9237</v>
      </c>
      <c r="O162" s="15">
        <v>0.37059999999999998</v>
      </c>
      <c r="P162" s="15">
        <v>2.6086</v>
      </c>
      <c r="Q162" s="15">
        <v>5.7599999999999998E-2</v>
      </c>
      <c r="R162" s="15">
        <v>0.62780000000000002</v>
      </c>
      <c r="S162" s="15">
        <v>7.6499999999999999E-2</v>
      </c>
      <c r="T162" s="15">
        <v>8.02</v>
      </c>
      <c r="U162" s="15">
        <v>0.16869999999999999</v>
      </c>
      <c r="V162" s="15">
        <v>1.835</v>
      </c>
      <c r="W162" s="15">
        <v>0.17580000000000001</v>
      </c>
      <c r="X162" s="15">
        <v>1.2364999999999999</v>
      </c>
      <c r="Y162" s="15">
        <v>7.7399999999999997E-2</v>
      </c>
      <c r="Z162" s="15">
        <v>0.65600000000000003</v>
      </c>
      <c r="AA162" s="15">
        <v>7.2800000000000004E-2</v>
      </c>
      <c r="AB162" s="15">
        <v>4.5986000000000002</v>
      </c>
      <c r="AC162" s="15">
        <v>0.2079</v>
      </c>
      <c r="AD162" s="15">
        <f t="shared" si="9"/>
        <v>99.619199999999992</v>
      </c>
    </row>
    <row r="163" spans="1:31" s="19" customFormat="1" x14ac:dyDescent="0.25">
      <c r="A163" s="12" t="s">
        <v>62</v>
      </c>
      <c r="B163" s="13" t="s">
        <v>228</v>
      </c>
      <c r="C163" s="13">
        <v>3</v>
      </c>
      <c r="D163" s="6">
        <v>1300</v>
      </c>
      <c r="E163" s="6">
        <v>96</v>
      </c>
      <c r="F163" s="7">
        <f t="shared" si="10"/>
        <v>6.3572790845518119</v>
      </c>
      <c r="G163" s="6" t="s">
        <v>27</v>
      </c>
      <c r="H163" s="15">
        <v>47.564300000000003</v>
      </c>
      <c r="I163" s="15">
        <v>0.26750000000000002</v>
      </c>
      <c r="J163" s="15">
        <v>2.0438000000000001</v>
      </c>
      <c r="K163" s="15">
        <v>6.8900000000000003E-2</v>
      </c>
      <c r="L163" s="15">
        <v>11.4411</v>
      </c>
      <c r="M163" s="15">
        <v>0.2949</v>
      </c>
      <c r="N163" s="15">
        <v>18.543900000000001</v>
      </c>
      <c r="O163" s="15">
        <v>0.3654</v>
      </c>
      <c r="P163" s="15">
        <v>2.6677</v>
      </c>
      <c r="Q163" s="15">
        <v>5.79E-2</v>
      </c>
      <c r="R163" s="15">
        <v>0.66159999999999997</v>
      </c>
      <c r="S163" s="15">
        <v>7.7499999999999999E-2</v>
      </c>
      <c r="T163" s="15">
        <v>7.8007999999999997</v>
      </c>
      <c r="U163" s="15">
        <v>0.16650000000000001</v>
      </c>
      <c r="V163" s="15">
        <v>1.8857999999999999</v>
      </c>
      <c r="W163" s="15">
        <v>0.17730000000000001</v>
      </c>
      <c r="X163" s="15">
        <v>1.2775000000000001</v>
      </c>
      <c r="Y163" s="15">
        <v>7.8600000000000003E-2</v>
      </c>
      <c r="Z163" s="15">
        <v>0.68320000000000003</v>
      </c>
      <c r="AA163" s="15">
        <v>7.1300000000000002E-2</v>
      </c>
      <c r="AB163" s="15">
        <v>4.5551000000000004</v>
      </c>
      <c r="AC163" s="15">
        <v>0.2089</v>
      </c>
      <c r="AD163" s="15">
        <f t="shared" si="9"/>
        <v>99.124799999999979</v>
      </c>
    </row>
    <row r="164" spans="1:31" s="19" customFormat="1" x14ac:dyDescent="0.25">
      <c r="A164" s="12" t="s">
        <v>62</v>
      </c>
      <c r="B164" s="13" t="s">
        <v>228</v>
      </c>
      <c r="C164" s="13">
        <v>4</v>
      </c>
      <c r="D164" s="6">
        <v>1300</v>
      </c>
      <c r="E164" s="6">
        <v>96</v>
      </c>
      <c r="F164" s="7">
        <f t="shared" si="10"/>
        <v>6.3572790845518119</v>
      </c>
      <c r="G164" s="6" t="s">
        <v>27</v>
      </c>
      <c r="H164" s="15">
        <v>47.540700000000001</v>
      </c>
      <c r="I164" s="15">
        <v>0.26750000000000002</v>
      </c>
      <c r="J164" s="15">
        <v>2.0672999999999999</v>
      </c>
      <c r="K164" s="15">
        <v>6.9800000000000001E-2</v>
      </c>
      <c r="L164" s="15">
        <v>11.5305</v>
      </c>
      <c r="M164" s="15">
        <v>0.29580000000000001</v>
      </c>
      <c r="N164" s="15">
        <v>18.752300000000002</v>
      </c>
      <c r="O164" s="15">
        <v>0.3679</v>
      </c>
      <c r="P164" s="15">
        <v>2.6669</v>
      </c>
      <c r="Q164" s="15">
        <v>5.7799999999999997E-2</v>
      </c>
      <c r="R164" s="15">
        <v>0.61729999999999996</v>
      </c>
      <c r="S164" s="15">
        <v>7.4800000000000005E-2</v>
      </c>
      <c r="T164" s="15">
        <v>7.8707000000000003</v>
      </c>
      <c r="U164" s="15">
        <v>0.16739999999999999</v>
      </c>
      <c r="V164" s="15">
        <v>1.8289</v>
      </c>
      <c r="W164" s="15">
        <v>0.17380000000000001</v>
      </c>
      <c r="X164" s="15">
        <v>1.325</v>
      </c>
      <c r="Y164" s="15">
        <v>7.9100000000000004E-2</v>
      </c>
      <c r="Z164" s="15">
        <v>0.72529999999999994</v>
      </c>
      <c r="AA164" s="15">
        <v>7.5999999999999998E-2</v>
      </c>
      <c r="AB164" s="15">
        <v>4.4710999999999999</v>
      </c>
      <c r="AC164" s="15">
        <v>0.2051</v>
      </c>
      <c r="AD164" s="15">
        <f t="shared" si="9"/>
        <v>99.396000000000015</v>
      </c>
    </row>
    <row r="165" spans="1:31" s="19" customFormat="1" x14ac:dyDescent="0.25">
      <c r="A165" s="12" t="s">
        <v>62</v>
      </c>
      <c r="B165" s="13" t="s">
        <v>228</v>
      </c>
      <c r="C165" s="13">
        <v>5</v>
      </c>
      <c r="D165" s="6">
        <v>1300</v>
      </c>
      <c r="E165" s="6">
        <v>96</v>
      </c>
      <c r="F165" s="7">
        <f t="shared" si="10"/>
        <v>6.3572790845518119</v>
      </c>
      <c r="G165" s="6" t="s">
        <v>27</v>
      </c>
      <c r="H165" s="15">
        <v>47.429900000000004</v>
      </c>
      <c r="I165" s="15">
        <v>0.2671</v>
      </c>
      <c r="J165" s="15">
        <v>2.0507</v>
      </c>
      <c r="K165" s="15">
        <v>6.8900000000000003E-2</v>
      </c>
      <c r="L165" s="15">
        <v>11.395099999999999</v>
      </c>
      <c r="M165" s="15">
        <v>0.29409999999999997</v>
      </c>
      <c r="N165" s="15">
        <v>18.618099999999998</v>
      </c>
      <c r="O165" s="15">
        <v>0.36670000000000003</v>
      </c>
      <c r="P165" s="15">
        <v>2.6518000000000002</v>
      </c>
      <c r="Q165" s="15">
        <v>5.7799999999999997E-2</v>
      </c>
      <c r="R165" s="15">
        <v>0.59750000000000003</v>
      </c>
      <c r="S165" s="15">
        <v>7.2700000000000001E-2</v>
      </c>
      <c r="T165" s="15">
        <v>7.89</v>
      </c>
      <c r="U165" s="15">
        <v>0.1671</v>
      </c>
      <c r="V165" s="15">
        <v>1.7456</v>
      </c>
      <c r="W165" s="15">
        <v>0.1711</v>
      </c>
      <c r="X165" s="15">
        <v>1.3359000000000001</v>
      </c>
      <c r="Y165" s="15">
        <v>7.9299999999999995E-2</v>
      </c>
      <c r="Z165" s="15">
        <v>0.76370000000000005</v>
      </c>
      <c r="AA165" s="15">
        <v>7.8799999999999995E-2</v>
      </c>
      <c r="AB165" s="15">
        <v>4.5769000000000002</v>
      </c>
      <c r="AC165" s="15">
        <v>0.20619999999999999</v>
      </c>
      <c r="AD165" s="15">
        <f t="shared" si="9"/>
        <v>99.055199999999971</v>
      </c>
    </row>
    <row r="166" spans="1:31" s="64" customFormat="1" x14ac:dyDescent="0.25">
      <c r="A166" s="59" t="s">
        <v>63</v>
      </c>
      <c r="B166" s="60" t="s">
        <v>229</v>
      </c>
      <c r="C166" s="60">
        <v>1</v>
      </c>
      <c r="D166" s="61">
        <v>1300</v>
      </c>
      <c r="E166" s="61">
        <v>150</v>
      </c>
      <c r="F166" s="62">
        <f t="shared" si="10"/>
        <v>6.3572790845518119</v>
      </c>
      <c r="G166" s="61" t="s">
        <v>27</v>
      </c>
      <c r="H166" s="63">
        <v>43.357399999999998</v>
      </c>
      <c r="I166" s="63">
        <v>0.25700000000000001</v>
      </c>
      <c r="J166" s="63">
        <v>0.47339999999999999</v>
      </c>
      <c r="K166" s="63">
        <v>4.1500000000000002E-2</v>
      </c>
      <c r="L166" s="63">
        <v>20.302</v>
      </c>
      <c r="M166" s="63">
        <v>0.3911</v>
      </c>
      <c r="N166" s="63">
        <v>11.964700000000001</v>
      </c>
      <c r="O166" s="63">
        <v>0.28549999999999998</v>
      </c>
      <c r="P166" s="63">
        <v>5.3813000000000004</v>
      </c>
      <c r="Q166" s="63">
        <v>7.9000000000000001E-2</v>
      </c>
      <c r="R166" s="63">
        <v>0.66110000000000002</v>
      </c>
      <c r="S166" s="63">
        <v>7.7799999999999994E-2</v>
      </c>
      <c r="T166" s="63">
        <v>10.4451</v>
      </c>
      <c r="U166" s="63">
        <v>0.19400000000000001</v>
      </c>
      <c r="V166" s="63">
        <v>0.38329999999999997</v>
      </c>
      <c r="W166" s="63">
        <v>8.6800000000000002E-2</v>
      </c>
      <c r="X166" s="63">
        <v>1.026</v>
      </c>
      <c r="Y166" s="63">
        <v>7.0400000000000004E-2</v>
      </c>
      <c r="Z166" s="63">
        <v>5.4699999999999999E-2</v>
      </c>
      <c r="AA166" s="63">
        <v>3.9300000000000002E-2</v>
      </c>
      <c r="AB166" s="63">
        <v>5.2115</v>
      </c>
      <c r="AC166" s="63">
        <v>0.219</v>
      </c>
      <c r="AD166" s="63">
        <f t="shared" si="9"/>
        <v>99.260499999999993</v>
      </c>
    </row>
    <row r="167" spans="1:31" s="64" customFormat="1" x14ac:dyDescent="0.25">
      <c r="A167" s="59" t="s">
        <v>63</v>
      </c>
      <c r="B167" s="60" t="s">
        <v>229</v>
      </c>
      <c r="C167" s="60">
        <v>2</v>
      </c>
      <c r="D167" s="61">
        <v>1300</v>
      </c>
      <c r="E167" s="61">
        <v>150</v>
      </c>
      <c r="F167" s="62">
        <f t="shared" si="10"/>
        <v>6.3572790845518119</v>
      </c>
      <c r="G167" s="61" t="s">
        <v>27</v>
      </c>
      <c r="H167" s="63">
        <v>43.160499999999999</v>
      </c>
      <c r="I167" s="63">
        <v>0.25629999999999997</v>
      </c>
      <c r="J167" s="63">
        <v>0.47620000000000001</v>
      </c>
      <c r="K167" s="63">
        <v>4.2000000000000003E-2</v>
      </c>
      <c r="L167" s="63">
        <v>20.6877</v>
      </c>
      <c r="M167" s="63">
        <v>0.39479999999999998</v>
      </c>
      <c r="N167" s="63">
        <v>11.8226</v>
      </c>
      <c r="O167" s="63">
        <v>0.28339999999999999</v>
      </c>
      <c r="P167" s="63">
        <v>5.3014999999999999</v>
      </c>
      <c r="Q167" s="63">
        <v>7.8299999999999995E-2</v>
      </c>
      <c r="R167" s="63">
        <v>0.66679999999999995</v>
      </c>
      <c r="S167" s="63">
        <v>7.6999999999999999E-2</v>
      </c>
      <c r="T167" s="63">
        <v>10.3955</v>
      </c>
      <c r="U167" s="63">
        <v>0.19350000000000001</v>
      </c>
      <c r="V167" s="63">
        <v>0.372</v>
      </c>
      <c r="W167" s="63">
        <v>8.3599999999999994E-2</v>
      </c>
      <c r="X167" s="63">
        <v>1.0162</v>
      </c>
      <c r="Y167" s="63">
        <v>7.0400000000000004E-2</v>
      </c>
      <c r="Z167" s="63">
        <v>6.8199999999999997E-2</v>
      </c>
      <c r="AA167" s="63">
        <v>3.5799999999999998E-2</v>
      </c>
      <c r="AB167" s="63">
        <v>5.3872999999999998</v>
      </c>
      <c r="AC167" s="63">
        <v>0.22170000000000001</v>
      </c>
      <c r="AD167" s="63">
        <f t="shared" si="9"/>
        <v>99.354499999999987</v>
      </c>
    </row>
    <row r="168" spans="1:31" s="19" customFormat="1" x14ac:dyDescent="0.25">
      <c r="A168" s="12" t="s">
        <v>65</v>
      </c>
      <c r="B168" s="13">
        <v>15386</v>
      </c>
      <c r="C168" s="6">
        <v>1</v>
      </c>
      <c r="D168" s="6">
        <v>1200</v>
      </c>
      <c r="E168" s="52">
        <v>70</v>
      </c>
      <c r="F168" s="7">
        <f t="shared" ref="F168" si="11">10^4/(D168+273)</f>
        <v>6.7888662593346911</v>
      </c>
      <c r="G168" s="6" t="s">
        <v>66</v>
      </c>
      <c r="H168" s="54">
        <v>43.643099999999997</v>
      </c>
      <c r="I168" s="54">
        <v>0.27450000000000002</v>
      </c>
      <c r="J168" s="54">
        <v>2.1790500000000002</v>
      </c>
      <c r="K168" s="54">
        <v>6.6799999999999998E-2</v>
      </c>
      <c r="L168" s="54">
        <v>13.1945</v>
      </c>
      <c r="M168" s="54">
        <v>0.40139999999999998</v>
      </c>
      <c r="N168" s="54">
        <v>16.4819</v>
      </c>
      <c r="O168" s="54">
        <v>0.4703</v>
      </c>
      <c r="P168" s="54">
        <v>6.8554000000000004</v>
      </c>
      <c r="Q168" s="54">
        <v>5.9799999999999999E-2</v>
      </c>
      <c r="R168" s="55"/>
      <c r="S168" s="55"/>
      <c r="T168" s="54">
        <v>8.9324999999999992</v>
      </c>
      <c r="U168" s="54">
        <v>0.14360000000000001</v>
      </c>
      <c r="V168" s="54">
        <v>1.2370000000000001</v>
      </c>
      <c r="W168" s="54">
        <v>9.1399999999999995E-2</v>
      </c>
      <c r="X168" s="54">
        <v>0.5383</v>
      </c>
      <c r="Y168" s="54">
        <v>6.9139999999999993E-2</v>
      </c>
      <c r="Z168" s="53"/>
      <c r="AA168" s="53"/>
      <c r="AB168" s="53"/>
      <c r="AC168" s="53"/>
      <c r="AD168" s="15">
        <f>SUM(H168,J168,L168,N168,P168,R168,T168,V168,X168,Z168,AB168)</f>
        <v>93.061750000000004</v>
      </c>
    </row>
    <row r="169" spans="1:31" s="19" customFormat="1" x14ac:dyDescent="0.25">
      <c r="A169" s="12" t="s">
        <v>65</v>
      </c>
      <c r="B169" s="13">
        <v>15386</v>
      </c>
      <c r="C169" s="6">
        <v>2</v>
      </c>
      <c r="D169" s="6">
        <v>1200</v>
      </c>
      <c r="E169" s="52">
        <v>70</v>
      </c>
      <c r="F169" s="7">
        <f t="shared" ref="F169:F172" si="12">10^4/(D169+273)</f>
        <v>6.7888662593346911</v>
      </c>
      <c r="G169" s="6" t="s">
        <v>66</v>
      </c>
      <c r="H169" s="54">
        <v>42.492100000000001</v>
      </c>
      <c r="I169" s="54">
        <v>0.25979999999999998</v>
      </c>
      <c r="J169" s="54">
        <v>2.0508799999999998</v>
      </c>
      <c r="K169" s="54">
        <v>4.4600000000000001E-2</v>
      </c>
      <c r="L169" s="54">
        <v>12.8215</v>
      </c>
      <c r="M169" s="54">
        <v>0.28299999999999997</v>
      </c>
      <c r="N169" s="54">
        <v>16.543099999999999</v>
      </c>
      <c r="O169" s="54">
        <v>0.5131</v>
      </c>
      <c r="P169" s="54">
        <v>6.7953999999999999</v>
      </c>
      <c r="Q169" s="54">
        <v>9.5299999999999996E-2</v>
      </c>
      <c r="R169" s="55"/>
      <c r="S169" s="55"/>
      <c r="T169" s="54">
        <v>8.9024999999999999</v>
      </c>
      <c r="U169" s="54">
        <v>5.8000000000000003E-2</v>
      </c>
      <c r="V169" s="54">
        <v>1.3292999999999999</v>
      </c>
      <c r="W169" s="54">
        <v>8.9899999999999994E-2</v>
      </c>
      <c r="X169" s="54">
        <v>0.57620000000000005</v>
      </c>
      <c r="Y169" s="54">
        <v>4.5969999999999997E-2</v>
      </c>
      <c r="Z169" s="53"/>
      <c r="AA169" s="53"/>
      <c r="AB169" s="53"/>
      <c r="AC169" s="53"/>
      <c r="AD169" s="15">
        <f t="shared" ref="AD169:AD177" si="13">SUM(H169,J169,L169,N169,P169,R169,T169,V169,X169,Z169,AB169)</f>
        <v>91.510980000000004</v>
      </c>
    </row>
    <row r="170" spans="1:31" s="19" customFormat="1" x14ac:dyDescent="0.25">
      <c r="A170" s="12" t="s">
        <v>65</v>
      </c>
      <c r="B170" s="13">
        <v>15386</v>
      </c>
      <c r="C170" s="51">
        <v>3</v>
      </c>
      <c r="D170" s="6">
        <v>1200</v>
      </c>
      <c r="E170" s="52">
        <v>70</v>
      </c>
      <c r="F170" s="7">
        <f t="shared" si="12"/>
        <v>6.7888662593346911</v>
      </c>
      <c r="G170" s="6" t="s">
        <v>66</v>
      </c>
      <c r="H170" s="54">
        <v>43.092100000000002</v>
      </c>
      <c r="I170" s="54">
        <v>0.245</v>
      </c>
      <c r="J170" s="54">
        <v>2.3072300000000001</v>
      </c>
      <c r="K170" s="54">
        <v>6.9500000000000006E-2</v>
      </c>
      <c r="L170" s="54">
        <v>13.2256</v>
      </c>
      <c r="M170" s="54">
        <v>0.33029999999999998</v>
      </c>
      <c r="N170" s="54">
        <v>16.298400000000001</v>
      </c>
      <c r="O170" s="54">
        <v>0.51459999999999995</v>
      </c>
      <c r="P170" s="54">
        <v>6.8254000000000001</v>
      </c>
      <c r="Q170" s="54">
        <v>8.9800000000000005E-2</v>
      </c>
      <c r="R170" s="55"/>
      <c r="S170" s="55"/>
      <c r="T170" s="54">
        <v>8.9625000000000004</v>
      </c>
      <c r="U170" s="54">
        <v>0.18060000000000001</v>
      </c>
      <c r="V170" s="54">
        <v>1.2831999999999999</v>
      </c>
      <c r="W170" s="54">
        <v>0.14069999999999999</v>
      </c>
      <c r="X170" s="54">
        <v>0.55620000000000003</v>
      </c>
      <c r="Y170" s="54">
        <v>5.9330000000000001E-2</v>
      </c>
      <c r="Z170" s="53"/>
      <c r="AA170" s="53"/>
      <c r="AB170" s="53"/>
      <c r="AC170" s="53"/>
      <c r="AD170" s="15">
        <f t="shared" si="13"/>
        <v>92.550629999999998</v>
      </c>
    </row>
    <row r="171" spans="1:31" s="19" customFormat="1" x14ac:dyDescent="0.25">
      <c r="A171" s="12" t="s">
        <v>65</v>
      </c>
      <c r="B171" s="13">
        <v>15386</v>
      </c>
      <c r="C171" s="51">
        <v>4</v>
      </c>
      <c r="D171" s="6">
        <v>1200</v>
      </c>
      <c r="E171" s="52">
        <v>70</v>
      </c>
      <c r="F171" s="7">
        <f t="shared" si="12"/>
        <v>6.7888662593346911</v>
      </c>
      <c r="G171" s="6" t="s">
        <v>66</v>
      </c>
      <c r="H171" s="54">
        <v>42.792099999999998</v>
      </c>
      <c r="I171" s="54">
        <v>0.2424</v>
      </c>
      <c r="J171" s="54">
        <v>2.1490499999999999</v>
      </c>
      <c r="K171" s="54">
        <v>4.5199999999999997E-2</v>
      </c>
      <c r="L171" s="54">
        <v>13.0184</v>
      </c>
      <c r="M171" s="54">
        <v>0.2475</v>
      </c>
      <c r="N171" s="54">
        <v>16.726700000000001</v>
      </c>
      <c r="O171" s="54">
        <v>0.46439999999999998</v>
      </c>
      <c r="P171" s="54">
        <v>6.6646000000000001</v>
      </c>
      <c r="Q171" s="54">
        <v>7.7700000000000005E-2</v>
      </c>
      <c r="R171" s="55"/>
      <c r="S171" s="55"/>
      <c r="T171" s="54">
        <v>8.7369000000000003</v>
      </c>
      <c r="U171" s="54">
        <v>0.12540000000000001</v>
      </c>
      <c r="V171" s="54">
        <v>1.2682</v>
      </c>
      <c r="W171" s="54">
        <v>8.9899999999999994E-2</v>
      </c>
      <c r="X171" s="54">
        <v>0.59409999999999996</v>
      </c>
      <c r="Y171" s="54">
        <v>7.3969999999999994E-2</v>
      </c>
      <c r="Z171" s="53"/>
      <c r="AA171" s="53"/>
      <c r="AB171" s="53"/>
      <c r="AC171" s="53"/>
      <c r="AD171" s="15">
        <f t="shared" si="13"/>
        <v>91.950050000000005</v>
      </c>
    </row>
    <row r="172" spans="1:31" s="19" customFormat="1" x14ac:dyDescent="0.25">
      <c r="A172" s="12" t="s">
        <v>65</v>
      </c>
      <c r="B172" s="13">
        <v>15386</v>
      </c>
      <c r="C172" s="51">
        <v>5</v>
      </c>
      <c r="D172" s="6">
        <v>1200</v>
      </c>
      <c r="E172" s="52">
        <v>70</v>
      </c>
      <c r="F172" s="7">
        <f t="shared" si="12"/>
        <v>6.7888662593346911</v>
      </c>
      <c r="G172" s="6" t="s">
        <v>66</v>
      </c>
      <c r="H172" s="54">
        <v>41.941200000000002</v>
      </c>
      <c r="I172" s="54">
        <v>0.42520000000000002</v>
      </c>
      <c r="J172" s="54">
        <v>2.2090000000000001</v>
      </c>
      <c r="K172" s="54">
        <v>4.0599999999999997E-2</v>
      </c>
      <c r="L172" s="54">
        <v>13.4536</v>
      </c>
      <c r="M172" s="54">
        <v>0.31369999999999998</v>
      </c>
      <c r="N172" s="54">
        <v>16.053699999999999</v>
      </c>
      <c r="O172" s="54">
        <v>0.40739999999999998</v>
      </c>
      <c r="P172" s="54">
        <v>6.9862000000000002</v>
      </c>
      <c r="Q172" s="54">
        <v>5.8400000000000001E-2</v>
      </c>
      <c r="R172" s="55"/>
      <c r="S172" s="55"/>
      <c r="T172" s="54">
        <v>9.1280999999999999</v>
      </c>
      <c r="U172" s="54">
        <v>0.1474</v>
      </c>
      <c r="V172" s="54">
        <v>1.2982</v>
      </c>
      <c r="W172" s="54">
        <v>0.161</v>
      </c>
      <c r="X172" s="54">
        <v>0.56620000000000004</v>
      </c>
      <c r="Y172" s="54">
        <v>4.5569999999999999E-2</v>
      </c>
      <c r="Z172" s="53"/>
      <c r="AA172" s="53"/>
      <c r="AB172" s="53"/>
      <c r="AC172" s="53"/>
      <c r="AD172" s="15">
        <f t="shared" si="13"/>
        <v>91.636199999999988</v>
      </c>
      <c r="AE172" s="41">
        <f>AVERAGE((AD168:AD172))</f>
        <v>92.141921999999994</v>
      </c>
    </row>
    <row r="173" spans="1:31" s="64" customFormat="1" x14ac:dyDescent="0.25">
      <c r="A173" s="59" t="s">
        <v>224</v>
      </c>
      <c r="B173" s="60">
        <v>15386</v>
      </c>
      <c r="C173" s="69">
        <v>1</v>
      </c>
      <c r="D173" s="61">
        <v>1250</v>
      </c>
      <c r="E173" s="65">
        <v>24</v>
      </c>
      <c r="F173" s="62">
        <f>10^4/(D173+273)</f>
        <v>6.5659881812212735</v>
      </c>
      <c r="G173" s="61" t="s">
        <v>66</v>
      </c>
      <c r="H173" s="66">
        <v>45.532299999999999</v>
      </c>
      <c r="I173" s="66">
        <v>0.33310000000000001</v>
      </c>
      <c r="J173" s="66">
        <v>1.6887000000000001</v>
      </c>
      <c r="K173" s="66">
        <v>7.0334999999999995E-2</v>
      </c>
      <c r="L173" s="66">
        <v>13.411</v>
      </c>
      <c r="M173" s="66">
        <v>0.38540000000000002</v>
      </c>
      <c r="N173" s="66">
        <v>16.82</v>
      </c>
      <c r="O173" s="66">
        <v>0.51049999999999995</v>
      </c>
      <c r="P173" s="66">
        <v>7.0491000000000001</v>
      </c>
      <c r="Q173" s="66">
        <v>5.5412999999999997E-2</v>
      </c>
      <c r="R173" s="67"/>
      <c r="S173" s="67"/>
      <c r="T173" s="66">
        <v>9.9057999999999993</v>
      </c>
      <c r="U173" s="66">
        <v>0.17960000000000001</v>
      </c>
      <c r="V173" s="66">
        <v>1.1911</v>
      </c>
      <c r="W173" s="66">
        <v>0.14549500000000001</v>
      </c>
      <c r="X173" s="66">
        <v>0.57269999999999999</v>
      </c>
      <c r="Y173" s="66">
        <v>7.3899999999999993E-2</v>
      </c>
      <c r="Z173" s="68"/>
      <c r="AA173" s="68"/>
      <c r="AB173" s="68"/>
      <c r="AC173" s="68"/>
      <c r="AD173" s="63">
        <f t="shared" si="13"/>
        <v>96.170699999999997</v>
      </c>
    </row>
    <row r="174" spans="1:31" s="64" customFormat="1" x14ac:dyDescent="0.25">
      <c r="A174" s="59" t="s">
        <v>224</v>
      </c>
      <c r="B174" s="60">
        <v>15386</v>
      </c>
      <c r="C174" s="69">
        <v>2</v>
      </c>
      <c r="D174" s="61">
        <v>1250</v>
      </c>
      <c r="E174" s="65">
        <v>24</v>
      </c>
      <c r="F174" s="62">
        <f>10^4/(D174+273)</f>
        <v>6.5659881812212735</v>
      </c>
      <c r="G174" s="61" t="s">
        <v>66</v>
      </c>
      <c r="H174" s="66">
        <v>46.745899999999999</v>
      </c>
      <c r="I174" s="66">
        <v>0.31780000000000003</v>
      </c>
      <c r="J174" s="66">
        <v>1.4916</v>
      </c>
      <c r="K174" s="66">
        <v>4.1295999999999999E-2</v>
      </c>
      <c r="L174" s="66">
        <v>13.123799999999999</v>
      </c>
      <c r="M174" s="66">
        <v>0.32250000000000001</v>
      </c>
      <c r="N174" s="66">
        <v>16.6434</v>
      </c>
      <c r="O174" s="66">
        <v>0.52449999999999997</v>
      </c>
      <c r="P174" s="66">
        <v>7.1745999999999999</v>
      </c>
      <c r="Q174" s="66">
        <v>9.7653000000000004E-2</v>
      </c>
      <c r="R174" s="67"/>
      <c r="S174" s="67"/>
      <c r="T174" s="66">
        <v>10.237299999999999</v>
      </c>
      <c r="U174" s="66">
        <v>0.186</v>
      </c>
      <c r="V174" s="66">
        <v>1.1681999999999999</v>
      </c>
      <c r="W174" s="66">
        <v>8.1988000000000005E-2</v>
      </c>
      <c r="X174" s="66">
        <v>0.54490000000000005</v>
      </c>
      <c r="Y174" s="66">
        <v>0.15679999999999999</v>
      </c>
      <c r="Z174" s="68"/>
      <c r="AA174" s="68"/>
      <c r="AB174" s="68"/>
      <c r="AC174" s="68"/>
      <c r="AD174" s="63">
        <f t="shared" si="13"/>
        <v>97.1297</v>
      </c>
    </row>
    <row r="175" spans="1:31" s="64" customFormat="1" x14ac:dyDescent="0.25">
      <c r="A175" s="59" t="s">
        <v>224</v>
      </c>
      <c r="B175" s="60">
        <v>15386</v>
      </c>
      <c r="C175" s="69">
        <v>3</v>
      </c>
      <c r="D175" s="61">
        <v>1250</v>
      </c>
      <c r="E175" s="65">
        <v>24</v>
      </c>
      <c r="F175" s="62">
        <f>10^4/(D175+273)</f>
        <v>6.5659881812212735</v>
      </c>
      <c r="G175" s="61" t="s">
        <v>66</v>
      </c>
      <c r="H175" s="66">
        <v>46.145899999999997</v>
      </c>
      <c r="I175" s="66">
        <v>0.37019999999999997</v>
      </c>
      <c r="J175" s="66">
        <v>1.5529999999999999</v>
      </c>
      <c r="K175" s="66">
        <v>3.9489999999999997E-2</v>
      </c>
      <c r="L175" s="66">
        <v>13.6264</v>
      </c>
      <c r="M175" s="66">
        <v>0.40960000000000002</v>
      </c>
      <c r="N175" s="66">
        <v>16.851099999999999</v>
      </c>
      <c r="O175" s="66">
        <v>0.40889999999999999</v>
      </c>
      <c r="P175" s="66">
        <v>7.3</v>
      </c>
      <c r="Q175" s="66">
        <v>7.6605999999999994E-2</v>
      </c>
      <c r="R175" s="67"/>
      <c r="S175" s="67"/>
      <c r="T175" s="66">
        <v>10.0091</v>
      </c>
      <c r="U175" s="66">
        <v>0.1072</v>
      </c>
      <c r="V175" s="66">
        <v>1.22401</v>
      </c>
      <c r="W175" s="66">
        <v>0.11480600000000001</v>
      </c>
      <c r="X175" s="66">
        <v>0.59760000000000002</v>
      </c>
      <c r="Y175" s="66">
        <v>0.161</v>
      </c>
      <c r="Z175" s="68"/>
      <c r="AA175" s="68"/>
      <c r="AB175" s="68"/>
      <c r="AC175" s="68"/>
      <c r="AD175" s="63">
        <f t="shared" si="13"/>
        <v>97.307110000000009</v>
      </c>
    </row>
    <row r="176" spans="1:31" s="64" customFormat="1" x14ac:dyDescent="0.25">
      <c r="A176" s="59" t="s">
        <v>224</v>
      </c>
      <c r="B176" s="60">
        <v>15386</v>
      </c>
      <c r="C176" s="69">
        <v>4</v>
      </c>
      <c r="D176" s="61">
        <v>1250</v>
      </c>
      <c r="E176" s="65">
        <v>24</v>
      </c>
      <c r="F176" s="62">
        <f>10^4/(D176+273)</f>
        <v>6.5659881812212735</v>
      </c>
      <c r="G176" s="61" t="s">
        <v>66</v>
      </c>
      <c r="H176" s="66">
        <v>47.359499999999997</v>
      </c>
      <c r="I176" s="66">
        <v>0.22209999999999999</v>
      </c>
      <c r="J176" s="66">
        <v>1.6175999999999999</v>
      </c>
      <c r="K176" s="66">
        <v>4.1884999999999999E-2</v>
      </c>
      <c r="L176" s="66">
        <v>13.554600000000001</v>
      </c>
      <c r="M176" s="66">
        <v>0.27160000000000001</v>
      </c>
      <c r="N176" s="66">
        <v>16.446100000000001</v>
      </c>
      <c r="O176" s="66">
        <v>0.497</v>
      </c>
      <c r="P176" s="66">
        <v>7.2891000000000004</v>
      </c>
      <c r="Q176" s="66">
        <v>6.2162000000000002E-2</v>
      </c>
      <c r="R176" s="67"/>
      <c r="S176" s="67"/>
      <c r="T176" s="66">
        <v>10.117800000000001</v>
      </c>
      <c r="U176" s="66">
        <v>6.25E-2</v>
      </c>
      <c r="V176" s="66">
        <v>1.1079000000000001</v>
      </c>
      <c r="W176" s="66">
        <v>0.165995</v>
      </c>
      <c r="X176" s="66">
        <v>0.6341</v>
      </c>
      <c r="Y176" s="66">
        <v>5.8099999999999999E-2</v>
      </c>
      <c r="Z176" s="68"/>
      <c r="AA176" s="68"/>
      <c r="AB176" s="68"/>
      <c r="AC176" s="68"/>
      <c r="AD176" s="63">
        <f t="shared" si="13"/>
        <v>98.126700000000014</v>
      </c>
    </row>
    <row r="177" spans="1:31" s="64" customFormat="1" x14ac:dyDescent="0.25">
      <c r="A177" s="59" t="s">
        <v>224</v>
      </c>
      <c r="B177" s="60">
        <v>15386</v>
      </c>
      <c r="C177" s="69">
        <v>5</v>
      </c>
      <c r="D177" s="61">
        <v>1250</v>
      </c>
      <c r="E177" s="65">
        <v>24</v>
      </c>
      <c r="F177" s="62">
        <f>10^4/(D177+273)</f>
        <v>6.5659881812212735</v>
      </c>
      <c r="G177" s="61" t="s">
        <v>66</v>
      </c>
      <c r="H177" s="66">
        <v>46.445900000000002</v>
      </c>
      <c r="I177" s="66">
        <v>8.5599999999999996E-2</v>
      </c>
      <c r="J177" s="66">
        <v>1.6079000000000001</v>
      </c>
      <c r="K177" s="66">
        <v>4.2601E-2</v>
      </c>
      <c r="L177" s="66">
        <v>13.6982</v>
      </c>
      <c r="M177" s="66">
        <v>0.29580000000000001</v>
      </c>
      <c r="N177" s="66">
        <v>17.079000000000001</v>
      </c>
      <c r="O177" s="66">
        <v>0.45700000000000002</v>
      </c>
      <c r="P177" s="66">
        <v>7.3872999999999998</v>
      </c>
      <c r="Q177" s="66">
        <v>7.8844999999999998E-2</v>
      </c>
      <c r="R177" s="67"/>
      <c r="S177" s="67"/>
      <c r="T177" s="66">
        <v>10.1015</v>
      </c>
      <c r="U177" s="66">
        <v>0.15459999999999999</v>
      </c>
      <c r="V177" s="66">
        <v>1.2367999999999999</v>
      </c>
      <c r="W177" s="66">
        <v>0.13289100000000001</v>
      </c>
      <c r="X177" s="66">
        <v>0.60189999999999999</v>
      </c>
      <c r="Y177" s="66">
        <v>7.8E-2</v>
      </c>
      <c r="Z177" s="68"/>
      <c r="AA177" s="68"/>
      <c r="AB177" s="68"/>
      <c r="AC177" s="68"/>
      <c r="AD177" s="63">
        <f t="shared" si="13"/>
        <v>98.158500000000004</v>
      </c>
      <c r="AE177" s="70">
        <f>AVERAGE((AD173:AD177))</f>
        <v>97.37854200000001</v>
      </c>
    </row>
    <row r="179" spans="1:31" x14ac:dyDescent="0.25">
      <c r="A179" s="56"/>
      <c r="B179" s="57"/>
    </row>
    <row r="180" spans="1:31" x14ac:dyDescent="0.25">
      <c r="A180" s="39"/>
      <c r="B180" s="58"/>
    </row>
  </sheetData>
  <phoneticPr fontId="8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8D9DB-FEF1-E440-9AF8-899BAE308A77}">
  <dimension ref="A1:AM299"/>
  <sheetViews>
    <sheetView workbookViewId="0">
      <pane ySplit="1" topLeftCell="A33" activePane="bottomLeft" state="frozen"/>
      <selection pane="bottomLeft" activeCell="G15" sqref="G15"/>
    </sheetView>
  </sheetViews>
  <sheetFormatPr baseColWidth="10" defaultRowHeight="19" x14ac:dyDescent="0.25"/>
  <cols>
    <col min="1" max="1" width="14" customWidth="1"/>
    <col min="2" max="2" width="10.7109375" style="1"/>
    <col min="4" max="4" width="10.7109375" style="1"/>
    <col min="6" max="6" width="14" bestFit="1" customWidth="1"/>
    <col min="10" max="10" width="12.28515625" bestFit="1" customWidth="1"/>
    <col min="15" max="15" width="10.7109375" style="25"/>
    <col min="19" max="19" width="10.7109375" style="28"/>
    <col min="21" max="21" width="10.7109375" style="25"/>
    <col min="23" max="23" width="13.140625" bestFit="1" customWidth="1"/>
    <col min="24" max="24" width="10.7109375" style="50"/>
    <col min="27" max="27" width="10.7109375" style="25"/>
    <col min="30" max="30" width="13.140625" bestFit="1" customWidth="1"/>
    <col min="31" max="31" width="14.85546875" bestFit="1" customWidth="1"/>
    <col min="32" max="32" width="12.7109375" bestFit="1" customWidth="1"/>
    <col min="33" max="33" width="15.42578125" bestFit="1" customWidth="1"/>
    <col min="34" max="34" width="15.28515625" style="25" bestFit="1" customWidth="1"/>
    <col min="35" max="35" width="13.140625" style="25" bestFit="1" customWidth="1"/>
    <col min="36" max="36" width="16.28515625" style="25" bestFit="1" customWidth="1"/>
  </cols>
  <sheetData>
    <row r="1" spans="1:39" s="36" customFormat="1" ht="20" thickBot="1" x14ac:dyDescent="0.3">
      <c r="A1" s="33" t="s">
        <v>67</v>
      </c>
      <c r="B1" s="33" t="s">
        <v>191</v>
      </c>
      <c r="C1" s="33" t="s">
        <v>68</v>
      </c>
      <c r="D1" s="33" t="s">
        <v>69</v>
      </c>
      <c r="E1" s="33" t="s">
        <v>80</v>
      </c>
      <c r="F1" s="33" t="s">
        <v>81</v>
      </c>
      <c r="G1" s="33" t="s">
        <v>82</v>
      </c>
      <c r="H1" s="33" t="s">
        <v>83</v>
      </c>
      <c r="I1" s="33" t="s">
        <v>84</v>
      </c>
      <c r="J1" s="33" t="s">
        <v>85</v>
      </c>
      <c r="K1" s="33" t="s">
        <v>86</v>
      </c>
      <c r="L1" s="33" t="s">
        <v>87</v>
      </c>
      <c r="M1" s="33" t="s">
        <v>92</v>
      </c>
      <c r="N1" s="33" t="s">
        <v>93</v>
      </c>
      <c r="O1" s="45" t="s">
        <v>94</v>
      </c>
      <c r="P1" s="34" t="s">
        <v>126</v>
      </c>
      <c r="Q1" s="34" t="s">
        <v>127</v>
      </c>
      <c r="R1" s="34" t="s">
        <v>128</v>
      </c>
      <c r="S1" s="35" t="s">
        <v>95</v>
      </c>
      <c r="T1" s="33" t="s">
        <v>96</v>
      </c>
      <c r="U1" s="45" t="s">
        <v>97</v>
      </c>
      <c r="V1" s="33" t="s">
        <v>88</v>
      </c>
      <c r="W1" s="33" t="s">
        <v>89</v>
      </c>
      <c r="X1" s="47" t="s">
        <v>129</v>
      </c>
      <c r="Y1" s="33" t="s">
        <v>90</v>
      </c>
      <c r="Z1" s="33" t="s">
        <v>91</v>
      </c>
      <c r="AA1" s="45" t="s">
        <v>130</v>
      </c>
      <c r="AC1" s="33"/>
      <c r="AD1" s="33" t="s">
        <v>67</v>
      </c>
      <c r="AE1" s="33" t="s">
        <v>218</v>
      </c>
      <c r="AF1" s="33" t="s">
        <v>219</v>
      </c>
      <c r="AG1" s="33" t="s">
        <v>220</v>
      </c>
      <c r="AH1" s="37" t="s">
        <v>222</v>
      </c>
      <c r="AI1" s="37" t="s">
        <v>221</v>
      </c>
      <c r="AJ1" s="37" t="s">
        <v>223</v>
      </c>
      <c r="AK1" s="38"/>
    </row>
    <row r="2" spans="1:39" x14ac:dyDescent="0.25">
      <c r="A2" s="39" t="s">
        <v>24</v>
      </c>
      <c r="B2" s="16">
        <v>2</v>
      </c>
      <c r="C2" s="2" t="s">
        <v>70</v>
      </c>
      <c r="D2" s="30">
        <v>44480</v>
      </c>
      <c r="E2" s="2">
        <v>358000</v>
      </c>
      <c r="F2" s="2">
        <v>25000</v>
      </c>
      <c r="G2" s="2">
        <v>-290</v>
      </c>
      <c r="H2" s="2">
        <v>600</v>
      </c>
      <c r="I2" s="2"/>
      <c r="J2" s="2"/>
      <c r="K2" s="2">
        <v>210</v>
      </c>
      <c r="L2" s="2">
        <v>210</v>
      </c>
      <c r="M2" s="2">
        <v>319</v>
      </c>
      <c r="N2" s="2">
        <v>21</v>
      </c>
      <c r="O2" s="18">
        <v>5.2</v>
      </c>
      <c r="P2" s="2">
        <v>1360</v>
      </c>
      <c r="Q2" s="2">
        <v>520</v>
      </c>
      <c r="R2" s="2"/>
      <c r="S2" s="31">
        <v>589000</v>
      </c>
      <c r="T2" s="2">
        <v>59000</v>
      </c>
      <c r="U2" s="18">
        <v>0.59</v>
      </c>
      <c r="V2" s="2">
        <v>87800</v>
      </c>
      <c r="W2" s="2">
        <v>4600</v>
      </c>
      <c r="X2" s="48"/>
      <c r="Y2" s="2"/>
      <c r="Z2" s="2"/>
      <c r="AA2" s="18"/>
      <c r="AC2">
        <v>0</v>
      </c>
      <c r="AD2" t="s">
        <v>32</v>
      </c>
      <c r="AE2" s="25">
        <v>470.50115697524802</v>
      </c>
      <c r="AF2" s="25">
        <v>80.952345947389901</v>
      </c>
      <c r="AG2" s="25">
        <v>67</v>
      </c>
      <c r="AH2" s="25">
        <v>52.564577705256106</v>
      </c>
      <c r="AI2" s="25">
        <v>6.5884360177807695</v>
      </c>
      <c r="AJ2" s="25">
        <v>10.25</v>
      </c>
      <c r="AK2" s="25"/>
      <c r="AL2" s="25"/>
      <c r="AM2" s="25"/>
    </row>
    <row r="3" spans="1:39" x14ac:dyDescent="0.25">
      <c r="A3" s="39" t="s">
        <v>24</v>
      </c>
      <c r="B3" s="16">
        <v>3</v>
      </c>
      <c r="C3" s="2" t="s">
        <v>71</v>
      </c>
      <c r="D3" s="30">
        <v>44480</v>
      </c>
      <c r="E3" s="2">
        <v>323000</v>
      </c>
      <c r="F3" s="2">
        <v>15000</v>
      </c>
      <c r="G3" s="2">
        <v>2400</v>
      </c>
      <c r="H3" s="2">
        <v>1100</v>
      </c>
      <c r="I3" s="2"/>
      <c r="J3" s="2"/>
      <c r="K3" s="2">
        <v>450</v>
      </c>
      <c r="L3" s="2">
        <v>330</v>
      </c>
      <c r="M3" s="2">
        <v>341</v>
      </c>
      <c r="N3" s="2">
        <v>28</v>
      </c>
      <c r="O3" s="18">
        <v>6.6</v>
      </c>
      <c r="P3" s="2">
        <v>360</v>
      </c>
      <c r="Q3" s="2">
        <v>710</v>
      </c>
      <c r="R3" s="2"/>
      <c r="S3" s="31">
        <v>542000</v>
      </c>
      <c r="T3" s="2">
        <v>44000</v>
      </c>
      <c r="U3" s="18">
        <v>0.57999999999999996</v>
      </c>
      <c r="V3" s="2">
        <v>113000</v>
      </c>
      <c r="W3" s="2">
        <v>11000</v>
      </c>
      <c r="X3" s="48"/>
      <c r="Y3" s="2"/>
      <c r="Z3" s="2"/>
      <c r="AA3" s="18"/>
      <c r="AC3">
        <v>1</v>
      </c>
      <c r="AD3" t="s">
        <v>193</v>
      </c>
      <c r="AE3" s="25">
        <v>387.65516872214403</v>
      </c>
      <c r="AF3" s="25">
        <v>74.670649779675998</v>
      </c>
      <c r="AG3" s="25">
        <v>32.4</v>
      </c>
      <c r="AH3" s="25">
        <v>55.503014884762202</v>
      </c>
      <c r="AI3" s="25">
        <v>2.6201655656421701</v>
      </c>
      <c r="AJ3" s="25">
        <v>5.42</v>
      </c>
      <c r="AK3" s="25"/>
      <c r="AL3" s="25"/>
      <c r="AM3" s="25"/>
    </row>
    <row r="4" spans="1:39" x14ac:dyDescent="0.25">
      <c r="A4" s="39" t="s">
        <v>24</v>
      </c>
      <c r="B4" s="16">
        <v>1</v>
      </c>
      <c r="C4" s="2" t="s">
        <v>72</v>
      </c>
      <c r="D4" s="30">
        <v>44480</v>
      </c>
      <c r="E4" s="2">
        <v>432000</v>
      </c>
      <c r="F4" s="2">
        <v>43000</v>
      </c>
      <c r="G4" s="2">
        <v>0</v>
      </c>
      <c r="H4" s="2">
        <v>1000</v>
      </c>
      <c r="I4" s="2"/>
      <c r="J4" s="2"/>
      <c r="K4" s="2">
        <v>-780</v>
      </c>
      <c r="L4" s="2">
        <v>490</v>
      </c>
      <c r="M4" s="2">
        <v>480</v>
      </c>
      <c r="N4" s="2">
        <v>46</v>
      </c>
      <c r="O4" s="18">
        <v>6.2</v>
      </c>
      <c r="P4" s="2">
        <v>2700</v>
      </c>
      <c r="Q4" s="2">
        <v>1200</v>
      </c>
      <c r="R4" s="2"/>
      <c r="S4" s="31">
        <v>648000</v>
      </c>
      <c r="T4" s="2">
        <v>92000</v>
      </c>
      <c r="U4" s="18">
        <v>0.7</v>
      </c>
      <c r="V4" s="2">
        <v>205000</v>
      </c>
      <c r="W4" s="2">
        <v>18000</v>
      </c>
      <c r="X4" s="48"/>
      <c r="Y4" s="2"/>
      <c r="Z4" s="2"/>
      <c r="AA4" s="18"/>
      <c r="AC4">
        <v>2</v>
      </c>
      <c r="AD4" t="s">
        <v>192</v>
      </c>
      <c r="AE4" s="25">
        <v>326.91999999999899</v>
      </c>
      <c r="AF4" s="25">
        <v>10.559999999999899</v>
      </c>
      <c r="AG4" s="25">
        <v>24.5</v>
      </c>
      <c r="AH4" s="25">
        <v>55.879748938526795</v>
      </c>
      <c r="AI4" s="25">
        <v>2.2523906221155601</v>
      </c>
      <c r="AJ4" s="25">
        <v>5.15</v>
      </c>
      <c r="AK4" s="25"/>
      <c r="AL4" s="25"/>
      <c r="AM4" s="25"/>
    </row>
    <row r="5" spans="1:39" x14ac:dyDescent="0.25">
      <c r="A5" s="39" t="s">
        <v>24</v>
      </c>
      <c r="B5" s="16">
        <v>2</v>
      </c>
      <c r="C5" s="2" t="s">
        <v>73</v>
      </c>
      <c r="D5" s="30">
        <v>44480</v>
      </c>
      <c r="E5" s="2">
        <v>372000</v>
      </c>
      <c r="F5" s="2">
        <v>55000</v>
      </c>
      <c r="G5" s="2">
        <v>2600</v>
      </c>
      <c r="H5" s="2">
        <v>1500</v>
      </c>
      <c r="I5" s="3"/>
      <c r="J5" s="3"/>
      <c r="K5" s="2">
        <v>140000</v>
      </c>
      <c r="L5" s="2">
        <v>120000</v>
      </c>
      <c r="M5" s="2">
        <v>512</v>
      </c>
      <c r="N5" s="2">
        <v>74</v>
      </c>
      <c r="O5" s="18">
        <v>7.5</v>
      </c>
      <c r="P5" s="2">
        <v>-200</v>
      </c>
      <c r="Q5" s="2">
        <v>1200</v>
      </c>
      <c r="R5" s="2"/>
      <c r="S5" s="31">
        <v>600000</v>
      </c>
      <c r="T5" s="2">
        <v>140000</v>
      </c>
      <c r="U5" s="18">
        <v>0.8</v>
      </c>
      <c r="V5" s="2">
        <v>253000</v>
      </c>
      <c r="W5" s="2">
        <v>54000</v>
      </c>
      <c r="X5" s="48"/>
      <c r="Y5" s="2"/>
      <c r="Z5" s="2"/>
      <c r="AA5" s="18"/>
      <c r="AC5">
        <v>3</v>
      </c>
      <c r="AD5" t="s">
        <v>217</v>
      </c>
      <c r="AE5" s="25">
        <v>476.557635739163</v>
      </c>
      <c r="AF5" s="25">
        <v>26.927141918563599</v>
      </c>
      <c r="AG5" s="25">
        <v>65</v>
      </c>
      <c r="AH5" s="25">
        <v>60.464951750214396</v>
      </c>
      <c r="AI5" s="25">
        <v>3.51109432289776</v>
      </c>
      <c r="AJ5" s="25">
        <v>10.5</v>
      </c>
      <c r="AK5" s="25"/>
      <c r="AL5" s="25"/>
      <c r="AM5" s="25"/>
    </row>
    <row r="6" spans="1:39" x14ac:dyDescent="0.25">
      <c r="A6" s="39" t="s">
        <v>24</v>
      </c>
      <c r="B6" s="16">
        <v>3</v>
      </c>
      <c r="C6" s="2" t="s">
        <v>74</v>
      </c>
      <c r="D6" s="30">
        <v>44480</v>
      </c>
      <c r="E6" s="2">
        <v>522000</v>
      </c>
      <c r="F6" s="2">
        <v>61000</v>
      </c>
      <c r="G6" s="2">
        <v>3100</v>
      </c>
      <c r="H6" s="2">
        <v>1700</v>
      </c>
      <c r="I6" s="2"/>
      <c r="J6" s="2"/>
      <c r="K6" s="2">
        <v>1300</v>
      </c>
      <c r="L6" s="2">
        <v>790</v>
      </c>
      <c r="M6" s="2">
        <v>431</v>
      </c>
      <c r="N6" s="2">
        <v>75</v>
      </c>
      <c r="O6" s="18">
        <v>7</v>
      </c>
      <c r="P6" s="2">
        <v>10490</v>
      </c>
      <c r="Q6" s="2">
        <v>910</v>
      </c>
      <c r="R6" s="2"/>
      <c r="S6" s="31">
        <v>571000</v>
      </c>
      <c r="T6" s="2">
        <v>83000</v>
      </c>
      <c r="U6" s="18">
        <v>0.63</v>
      </c>
      <c r="V6" s="2">
        <v>52000</v>
      </c>
      <c r="W6" s="2">
        <v>3800</v>
      </c>
      <c r="X6" s="48"/>
      <c r="Y6" s="2"/>
      <c r="Z6" s="2"/>
      <c r="AA6" s="18"/>
      <c r="AC6">
        <v>4</v>
      </c>
      <c r="AD6" s="23" t="s">
        <v>194</v>
      </c>
      <c r="AE6" s="26">
        <v>528.314481338218</v>
      </c>
      <c r="AF6" s="26">
        <v>148.11893320720301</v>
      </c>
      <c r="AG6" s="26">
        <v>46</v>
      </c>
      <c r="AH6" s="25">
        <v>56.118894899751595</v>
      </c>
      <c r="AI6" s="25">
        <v>4.4193252637582496</v>
      </c>
      <c r="AJ6" s="25">
        <v>3.8888888888888804</v>
      </c>
      <c r="AK6" s="25"/>
      <c r="AL6" s="25"/>
      <c r="AM6" s="25"/>
    </row>
    <row r="7" spans="1:39" x14ac:dyDescent="0.25">
      <c r="A7" s="39" t="s">
        <v>24</v>
      </c>
      <c r="B7" s="16">
        <v>1</v>
      </c>
      <c r="C7" s="2" t="s">
        <v>75</v>
      </c>
      <c r="D7" s="30">
        <v>44490</v>
      </c>
      <c r="E7" s="2">
        <v>408000</v>
      </c>
      <c r="F7" s="2">
        <v>29000</v>
      </c>
      <c r="G7" s="2">
        <v>600</v>
      </c>
      <c r="H7" s="2">
        <v>1000</v>
      </c>
      <c r="I7" s="2">
        <v>14000</v>
      </c>
      <c r="J7" s="2">
        <v>14000</v>
      </c>
      <c r="K7" s="2">
        <v>-20</v>
      </c>
      <c r="L7" s="2">
        <v>240</v>
      </c>
      <c r="M7" s="2">
        <v>336</v>
      </c>
      <c r="N7" s="2">
        <v>24</v>
      </c>
      <c r="O7" s="18">
        <v>7.8</v>
      </c>
      <c r="P7" s="2">
        <v>1450</v>
      </c>
      <c r="Q7" s="2">
        <v>510</v>
      </c>
      <c r="R7" s="2"/>
      <c r="S7" s="31">
        <v>553000</v>
      </c>
      <c r="T7" s="2">
        <v>38000</v>
      </c>
      <c r="U7" s="18">
        <v>0.51</v>
      </c>
      <c r="V7" s="2">
        <v>59100</v>
      </c>
      <c r="W7" s="2">
        <v>7200</v>
      </c>
      <c r="X7" s="48"/>
      <c r="Y7" s="2">
        <v>658000</v>
      </c>
      <c r="Z7" s="2">
        <v>51000</v>
      </c>
      <c r="AA7" s="18"/>
      <c r="AC7">
        <v>5</v>
      </c>
      <c r="AD7" t="s">
        <v>210</v>
      </c>
      <c r="AE7" s="25">
        <v>197</v>
      </c>
      <c r="AF7" s="25">
        <v>2.8421709430404001E-14</v>
      </c>
      <c r="AG7" s="25">
        <v>24</v>
      </c>
      <c r="AH7" s="25">
        <v>107</v>
      </c>
      <c r="AI7" s="25">
        <v>0</v>
      </c>
      <c r="AJ7" s="25">
        <v>18</v>
      </c>
      <c r="AK7" s="25"/>
      <c r="AL7" s="25"/>
      <c r="AM7" s="25"/>
    </row>
    <row r="8" spans="1:39" x14ac:dyDescent="0.25">
      <c r="A8" s="39" t="s">
        <v>24</v>
      </c>
      <c r="B8" s="16">
        <v>2</v>
      </c>
      <c r="C8" s="2" t="s">
        <v>76</v>
      </c>
      <c r="D8" s="30">
        <v>44490</v>
      </c>
      <c r="E8" s="2">
        <v>430000</v>
      </c>
      <c r="F8" s="2">
        <v>31000</v>
      </c>
      <c r="G8" s="2">
        <v>-550</v>
      </c>
      <c r="H8" s="2">
        <v>930</v>
      </c>
      <c r="I8" s="2">
        <v>750000</v>
      </c>
      <c r="J8" s="2">
        <v>950000</v>
      </c>
      <c r="K8" s="2">
        <v>18000</v>
      </c>
      <c r="L8" s="2">
        <v>22000</v>
      </c>
      <c r="M8" s="2">
        <v>466</v>
      </c>
      <c r="N8" s="2">
        <v>49</v>
      </c>
      <c r="O8" s="18">
        <v>10</v>
      </c>
      <c r="P8" s="2">
        <v>2150</v>
      </c>
      <c r="Q8" s="2">
        <v>650</v>
      </c>
      <c r="R8" s="2"/>
      <c r="S8" s="31">
        <v>550000</v>
      </c>
      <c r="T8" s="2">
        <v>64000</v>
      </c>
      <c r="U8" s="18">
        <v>0.68</v>
      </c>
      <c r="V8" s="2">
        <v>158000</v>
      </c>
      <c r="W8" s="2">
        <v>13000</v>
      </c>
      <c r="X8" s="48"/>
      <c r="Y8" s="2">
        <v>672000</v>
      </c>
      <c r="Z8" s="2">
        <v>65000</v>
      </c>
      <c r="AA8" s="18"/>
      <c r="AC8">
        <v>6</v>
      </c>
      <c r="AD8" t="s">
        <v>195</v>
      </c>
      <c r="AE8" s="25">
        <v>431.40709922225</v>
      </c>
      <c r="AF8" s="25">
        <v>54.030063638968102</v>
      </c>
      <c r="AG8" s="25">
        <v>32.5</v>
      </c>
      <c r="AH8" s="25">
        <v>64.125230145586897</v>
      </c>
      <c r="AI8" s="25">
        <v>3.6226820822114001</v>
      </c>
      <c r="AJ8" s="25">
        <v>4.68333333333333</v>
      </c>
      <c r="AK8" s="25"/>
      <c r="AL8" s="25"/>
      <c r="AM8" s="25"/>
    </row>
    <row r="9" spans="1:39" x14ac:dyDescent="0.25">
      <c r="A9" s="39" t="s">
        <v>24</v>
      </c>
      <c r="B9" s="16">
        <v>3</v>
      </c>
      <c r="C9" s="2" t="s">
        <v>77</v>
      </c>
      <c r="D9" s="30">
        <v>44490</v>
      </c>
      <c r="E9" s="2">
        <v>391000</v>
      </c>
      <c r="F9" s="2">
        <v>19000</v>
      </c>
      <c r="G9" s="2">
        <v>1800</v>
      </c>
      <c r="H9" s="2">
        <v>1200</v>
      </c>
      <c r="I9" s="3">
        <v>4000000</v>
      </c>
      <c r="J9" s="3">
        <v>1700000</v>
      </c>
      <c r="K9" s="2">
        <v>97000</v>
      </c>
      <c r="L9" s="2">
        <v>42000</v>
      </c>
      <c r="M9" s="2">
        <v>472</v>
      </c>
      <c r="N9" s="2">
        <v>27</v>
      </c>
      <c r="O9" s="18">
        <v>8.8000000000000007</v>
      </c>
      <c r="P9" s="2">
        <v>2430</v>
      </c>
      <c r="Q9" s="2">
        <v>550</v>
      </c>
      <c r="R9" s="2"/>
      <c r="S9" s="31">
        <v>559000</v>
      </c>
      <c r="T9" s="2">
        <v>54000</v>
      </c>
      <c r="U9" s="18">
        <v>0.62</v>
      </c>
      <c r="V9" s="2">
        <v>136200</v>
      </c>
      <c r="W9" s="2">
        <v>9400</v>
      </c>
      <c r="X9" s="48"/>
      <c r="Y9" s="2">
        <v>617000</v>
      </c>
      <c r="Z9" s="2">
        <v>68000</v>
      </c>
      <c r="AA9" s="18"/>
      <c r="AC9">
        <v>7</v>
      </c>
      <c r="AD9" t="s">
        <v>196</v>
      </c>
      <c r="AE9" s="25">
        <v>408.99651788793398</v>
      </c>
      <c r="AF9" s="25">
        <v>22.385558095611501</v>
      </c>
      <c r="AG9" s="25">
        <v>33.5</v>
      </c>
      <c r="AH9" s="25">
        <v>56.400979477573607</v>
      </c>
      <c r="AI9" s="25">
        <v>3.5396504477113502</v>
      </c>
      <c r="AJ9" s="25">
        <v>4.5166666666666595</v>
      </c>
      <c r="AK9" s="25"/>
      <c r="AL9" s="25"/>
      <c r="AM9" s="25"/>
    </row>
    <row r="10" spans="1:39" x14ac:dyDescent="0.25">
      <c r="A10" s="39" t="s">
        <v>24</v>
      </c>
      <c r="B10" s="16">
        <v>4</v>
      </c>
      <c r="C10" s="2" t="s">
        <v>78</v>
      </c>
      <c r="D10" s="30">
        <v>44490</v>
      </c>
      <c r="E10" s="2">
        <v>301000</v>
      </c>
      <c r="F10" s="2">
        <v>20000</v>
      </c>
      <c r="G10" s="2">
        <v>1340</v>
      </c>
      <c r="H10" s="2">
        <v>910</v>
      </c>
      <c r="I10" s="2">
        <v>33000</v>
      </c>
      <c r="J10" s="2">
        <v>14000</v>
      </c>
      <c r="K10" s="2">
        <v>840</v>
      </c>
      <c r="L10" s="2">
        <v>310</v>
      </c>
      <c r="M10" s="2">
        <v>296</v>
      </c>
      <c r="N10" s="2">
        <v>28</v>
      </c>
      <c r="O10" s="18">
        <v>8.4</v>
      </c>
      <c r="P10" s="2">
        <v>2260</v>
      </c>
      <c r="Q10" s="2">
        <v>400</v>
      </c>
      <c r="R10" s="2"/>
      <c r="S10" s="31">
        <v>629000</v>
      </c>
      <c r="T10" s="2">
        <v>72000</v>
      </c>
      <c r="U10" s="18">
        <v>0.69</v>
      </c>
      <c r="V10" s="2">
        <v>42400</v>
      </c>
      <c r="W10" s="2">
        <v>3600</v>
      </c>
      <c r="X10" s="48"/>
      <c r="Y10" s="2">
        <v>483000</v>
      </c>
      <c r="Z10" s="2">
        <v>45000</v>
      </c>
      <c r="AA10" s="18"/>
      <c r="AC10">
        <v>8</v>
      </c>
      <c r="AD10" t="s">
        <v>51</v>
      </c>
      <c r="AE10" s="25">
        <v>414.90455593916602</v>
      </c>
      <c r="AF10" s="25">
        <v>67.6692812771159</v>
      </c>
      <c r="AG10" s="25">
        <v>70</v>
      </c>
      <c r="AH10" s="25">
        <v>67.769861202641295</v>
      </c>
      <c r="AI10" s="25">
        <v>5.6054801530603502</v>
      </c>
      <c r="AJ10" s="25">
        <v>24.1666666666666</v>
      </c>
      <c r="AK10" s="25"/>
      <c r="AL10" s="25"/>
      <c r="AM10" s="25"/>
    </row>
    <row r="11" spans="1:39" x14ac:dyDescent="0.25">
      <c r="A11" s="39" t="s">
        <v>24</v>
      </c>
      <c r="B11" s="16">
        <v>5</v>
      </c>
      <c r="C11" s="2" t="s">
        <v>79</v>
      </c>
      <c r="D11" s="30">
        <v>44490</v>
      </c>
      <c r="E11" s="2">
        <v>367000</v>
      </c>
      <c r="F11" s="2">
        <v>18000</v>
      </c>
      <c r="G11" s="2">
        <v>2300</v>
      </c>
      <c r="H11" s="2">
        <v>990</v>
      </c>
      <c r="I11" s="2">
        <v>170000</v>
      </c>
      <c r="J11" s="2">
        <v>180000</v>
      </c>
      <c r="K11" s="2">
        <v>2000</v>
      </c>
      <c r="L11" s="2">
        <v>1700</v>
      </c>
      <c r="M11" s="2">
        <v>455</v>
      </c>
      <c r="N11" s="2">
        <v>34</v>
      </c>
      <c r="O11" s="18">
        <v>8.3000000000000007</v>
      </c>
      <c r="P11" s="2">
        <v>2280</v>
      </c>
      <c r="Q11" s="2">
        <v>400</v>
      </c>
      <c r="R11" s="2"/>
      <c r="S11" s="31">
        <v>531000</v>
      </c>
      <c r="T11" s="2">
        <v>43000</v>
      </c>
      <c r="U11" s="18">
        <v>0.62</v>
      </c>
      <c r="V11" s="2">
        <v>114000</v>
      </c>
      <c r="W11" s="2">
        <v>17000</v>
      </c>
      <c r="X11" s="48"/>
      <c r="Y11" s="2">
        <v>553000</v>
      </c>
      <c r="Z11" s="2">
        <v>44000</v>
      </c>
      <c r="AA11" s="18"/>
      <c r="AC11">
        <v>9</v>
      </c>
      <c r="AD11" t="s">
        <v>208</v>
      </c>
      <c r="AE11" s="25">
        <v>209.465542199005</v>
      </c>
      <c r="AF11" s="25">
        <v>25.449392094025299</v>
      </c>
      <c r="AG11" s="25">
        <v>25.3333333333333</v>
      </c>
      <c r="AH11" s="25">
        <v>65.868397943736397</v>
      </c>
      <c r="AI11" s="25">
        <v>3.0840748360057</v>
      </c>
      <c r="AJ11" s="25">
        <v>12.2666666666666</v>
      </c>
      <c r="AK11" s="25"/>
      <c r="AL11" s="25"/>
      <c r="AM11" s="25"/>
    </row>
    <row r="12" spans="1:39" s="19" customFormat="1" x14ac:dyDescent="0.25">
      <c r="A12" s="40" t="s">
        <v>33</v>
      </c>
      <c r="B12" s="13">
        <v>1</v>
      </c>
      <c r="C12" s="12" t="s">
        <v>98</v>
      </c>
      <c r="D12" s="29">
        <v>44480</v>
      </c>
      <c r="E12" s="12">
        <v>282000</v>
      </c>
      <c r="F12" s="12">
        <v>18000</v>
      </c>
      <c r="G12" s="12">
        <v>40</v>
      </c>
      <c r="H12" s="12">
        <v>460</v>
      </c>
      <c r="I12" s="12"/>
      <c r="J12" s="12"/>
      <c r="K12" s="12">
        <v>70</v>
      </c>
      <c r="L12" s="12">
        <v>170</v>
      </c>
      <c r="M12" s="12">
        <v>493</v>
      </c>
      <c r="N12" s="12">
        <v>28</v>
      </c>
      <c r="O12" s="15">
        <v>5.6</v>
      </c>
      <c r="P12" s="12">
        <v>830</v>
      </c>
      <c r="Q12" s="12">
        <v>400</v>
      </c>
      <c r="R12" s="12"/>
      <c r="S12" s="27">
        <v>571000</v>
      </c>
      <c r="T12" s="12">
        <v>41000</v>
      </c>
      <c r="U12" s="15">
        <v>0.73</v>
      </c>
      <c r="V12" s="12">
        <v>24100</v>
      </c>
      <c r="W12" s="12">
        <v>1700</v>
      </c>
      <c r="X12" s="49"/>
      <c r="Y12" s="12"/>
      <c r="Z12" s="12"/>
      <c r="AA12" s="15"/>
      <c r="AC12" s="19">
        <v>10</v>
      </c>
      <c r="AD12" s="19" t="s">
        <v>209</v>
      </c>
      <c r="AE12" s="41">
        <v>360.10257571156097</v>
      </c>
      <c r="AF12" s="41">
        <v>57.908310300959101</v>
      </c>
      <c r="AG12" s="41">
        <v>71.5</v>
      </c>
      <c r="AH12" s="41">
        <v>70.839998121468</v>
      </c>
      <c r="AI12" s="41">
        <v>5.7011351815930196</v>
      </c>
      <c r="AJ12" s="41">
        <v>18.32</v>
      </c>
      <c r="AK12" s="41"/>
      <c r="AL12" s="41"/>
      <c r="AM12" s="41"/>
    </row>
    <row r="13" spans="1:39" s="19" customFormat="1" x14ac:dyDescent="0.25">
      <c r="A13" s="40" t="s">
        <v>33</v>
      </c>
      <c r="B13" s="13">
        <v>2</v>
      </c>
      <c r="C13" s="12" t="s">
        <v>99</v>
      </c>
      <c r="D13" s="29">
        <v>44480</v>
      </c>
      <c r="E13" s="12">
        <v>213000</v>
      </c>
      <c r="F13" s="12">
        <v>12000</v>
      </c>
      <c r="G13" s="12">
        <v>70</v>
      </c>
      <c r="H13" s="12">
        <v>330</v>
      </c>
      <c r="I13" s="12"/>
      <c r="J13" s="12"/>
      <c r="K13" s="12">
        <v>-37</v>
      </c>
      <c r="L13" s="12">
        <v>97</v>
      </c>
      <c r="M13" s="12">
        <v>524</v>
      </c>
      <c r="N13" s="12">
        <v>33</v>
      </c>
      <c r="O13" s="15">
        <v>5.7</v>
      </c>
      <c r="P13" s="12">
        <v>1380</v>
      </c>
      <c r="Q13" s="12">
        <v>270</v>
      </c>
      <c r="R13" s="12"/>
      <c r="S13" s="27">
        <v>481000</v>
      </c>
      <c r="T13" s="12">
        <v>30000</v>
      </c>
      <c r="U13" s="15">
        <v>0.53</v>
      </c>
      <c r="V13" s="12">
        <v>26200</v>
      </c>
      <c r="W13" s="12">
        <v>2300</v>
      </c>
      <c r="X13" s="49"/>
      <c r="Y13" s="12"/>
      <c r="Z13" s="12"/>
      <c r="AA13" s="15"/>
      <c r="AC13" s="19">
        <v>11</v>
      </c>
      <c r="AD13" s="19" t="s">
        <v>197</v>
      </c>
      <c r="AE13" s="41">
        <v>275.04790087600298</v>
      </c>
      <c r="AF13" s="41">
        <v>31.128605467477001</v>
      </c>
      <c r="AG13" s="41">
        <v>32.4</v>
      </c>
      <c r="AH13" s="41">
        <v>46.301202643062197</v>
      </c>
      <c r="AI13" s="41">
        <v>4.0138069731436898</v>
      </c>
      <c r="AJ13" s="41">
        <v>5.1533333333333298</v>
      </c>
      <c r="AK13" s="41"/>
      <c r="AL13" s="41"/>
      <c r="AM13" s="41"/>
    </row>
    <row r="14" spans="1:39" s="19" customFormat="1" x14ac:dyDescent="0.25">
      <c r="A14" s="40" t="s">
        <v>33</v>
      </c>
      <c r="B14" s="13">
        <v>3</v>
      </c>
      <c r="C14" s="12" t="s">
        <v>100</v>
      </c>
      <c r="D14" s="29">
        <v>44480</v>
      </c>
      <c r="E14" s="12">
        <v>256000</v>
      </c>
      <c r="F14" s="12">
        <v>18000</v>
      </c>
      <c r="G14" s="12">
        <v>60</v>
      </c>
      <c r="H14" s="12">
        <v>420</v>
      </c>
      <c r="I14" s="12"/>
      <c r="J14" s="12"/>
      <c r="K14" s="12">
        <v>6800</v>
      </c>
      <c r="L14" s="12">
        <v>5000</v>
      </c>
      <c r="M14" s="12">
        <v>482</v>
      </c>
      <c r="N14" s="12">
        <v>30</v>
      </c>
      <c r="O14" s="15">
        <v>5.9</v>
      </c>
      <c r="P14" s="12">
        <v>1530</v>
      </c>
      <c r="Q14" s="12">
        <v>320</v>
      </c>
      <c r="R14" s="12"/>
      <c r="S14" s="27">
        <v>588000</v>
      </c>
      <c r="T14" s="12">
        <v>54000</v>
      </c>
      <c r="U14" s="15">
        <v>0.56000000000000005</v>
      </c>
      <c r="V14" s="12">
        <v>23600</v>
      </c>
      <c r="W14" s="12">
        <v>1600</v>
      </c>
      <c r="X14" s="49"/>
      <c r="Y14" s="12"/>
      <c r="Z14" s="12"/>
      <c r="AA14" s="15"/>
      <c r="AC14" s="19">
        <v>12</v>
      </c>
      <c r="AD14" s="19" t="s">
        <v>198</v>
      </c>
      <c r="AE14" s="41">
        <v>284.37741020881299</v>
      </c>
      <c r="AF14" s="41">
        <v>58.215755959044202</v>
      </c>
      <c r="AG14" s="41">
        <v>59.692307692307601</v>
      </c>
      <c r="AH14" s="41">
        <v>61.977740517146501</v>
      </c>
      <c r="AI14" s="41">
        <v>13.8927862419868</v>
      </c>
      <c r="AJ14" s="41">
        <v>16.584615384615301</v>
      </c>
      <c r="AK14" s="41"/>
      <c r="AL14" s="41"/>
      <c r="AM14" s="41"/>
    </row>
    <row r="15" spans="1:39" s="19" customFormat="1" x14ac:dyDescent="0.25">
      <c r="A15" s="40" t="s">
        <v>33</v>
      </c>
      <c r="B15" s="13">
        <v>2</v>
      </c>
      <c r="C15" s="12" t="s">
        <v>102</v>
      </c>
      <c r="D15" s="29">
        <v>44490</v>
      </c>
      <c r="E15" s="12">
        <v>407000</v>
      </c>
      <c r="F15" s="12">
        <v>25000</v>
      </c>
      <c r="G15" s="12">
        <v>50</v>
      </c>
      <c r="H15" s="12">
        <v>730</v>
      </c>
      <c r="I15" s="12">
        <v>7800</v>
      </c>
      <c r="J15" s="12">
        <v>8800</v>
      </c>
      <c r="K15" s="12">
        <v>220</v>
      </c>
      <c r="L15" s="12">
        <v>130</v>
      </c>
      <c r="M15" s="12">
        <v>356</v>
      </c>
      <c r="N15" s="12">
        <v>27</v>
      </c>
      <c r="O15" s="15">
        <v>5.7</v>
      </c>
      <c r="P15" s="12">
        <v>1750</v>
      </c>
      <c r="Q15" s="12">
        <v>400</v>
      </c>
      <c r="R15" s="12"/>
      <c r="S15" s="27">
        <v>533000</v>
      </c>
      <c r="T15" s="12">
        <v>41000</v>
      </c>
      <c r="U15" s="15">
        <v>0.41</v>
      </c>
      <c r="V15" s="12">
        <v>14800</v>
      </c>
      <c r="W15" s="12">
        <v>1300</v>
      </c>
      <c r="X15" s="49"/>
      <c r="Y15" s="12">
        <v>700000</v>
      </c>
      <c r="Z15" s="12">
        <v>56000</v>
      </c>
      <c r="AA15" s="15"/>
      <c r="AC15" s="19">
        <v>14</v>
      </c>
      <c r="AD15" s="19" t="s">
        <v>199</v>
      </c>
      <c r="AE15" s="41">
        <v>353.96836311114299</v>
      </c>
      <c r="AF15" s="41">
        <v>54.825464044193197</v>
      </c>
      <c r="AG15" s="41">
        <v>53.6666666666666</v>
      </c>
      <c r="AH15" s="41">
        <v>83.452185543528898</v>
      </c>
      <c r="AI15" s="41">
        <v>4.8509827046321501</v>
      </c>
      <c r="AJ15" s="41">
        <v>17</v>
      </c>
      <c r="AK15" s="41"/>
      <c r="AL15" s="41"/>
      <c r="AM15" s="41"/>
    </row>
    <row r="16" spans="1:39" s="19" customFormat="1" x14ac:dyDescent="0.25">
      <c r="A16" s="40" t="s">
        <v>33</v>
      </c>
      <c r="B16" s="13">
        <v>3</v>
      </c>
      <c r="C16" s="12" t="s">
        <v>103</v>
      </c>
      <c r="D16" s="29">
        <v>44490</v>
      </c>
      <c r="E16" s="12">
        <v>382000</v>
      </c>
      <c r="F16" s="12">
        <v>20000</v>
      </c>
      <c r="G16" s="12">
        <v>130</v>
      </c>
      <c r="H16" s="12">
        <v>650</v>
      </c>
      <c r="I16" s="12">
        <v>28000</v>
      </c>
      <c r="J16" s="12">
        <v>14000</v>
      </c>
      <c r="K16" s="12">
        <v>590</v>
      </c>
      <c r="L16" s="12">
        <v>310</v>
      </c>
      <c r="M16" s="12">
        <v>586</v>
      </c>
      <c r="N16" s="12">
        <v>46</v>
      </c>
      <c r="O16" s="15">
        <v>6.7</v>
      </c>
      <c r="P16" s="12">
        <v>1910</v>
      </c>
      <c r="Q16" s="12">
        <v>390</v>
      </c>
      <c r="R16" s="12"/>
      <c r="S16" s="27">
        <v>548000</v>
      </c>
      <c r="T16" s="12">
        <v>30000</v>
      </c>
      <c r="U16" s="15">
        <v>0.44</v>
      </c>
      <c r="V16" s="12">
        <v>41200</v>
      </c>
      <c r="W16" s="12">
        <v>6400</v>
      </c>
      <c r="X16" s="49"/>
      <c r="Y16" s="12">
        <v>654000</v>
      </c>
      <c r="Z16" s="12">
        <v>45000</v>
      </c>
      <c r="AA16" s="15"/>
      <c r="AC16" s="19">
        <v>15</v>
      </c>
      <c r="AD16" s="19" t="s">
        <v>211</v>
      </c>
      <c r="AE16" s="41">
        <v>184.323674109085</v>
      </c>
      <c r="AF16" s="41">
        <v>37.995124580753902</v>
      </c>
      <c r="AG16" s="41">
        <v>28.4166666666666</v>
      </c>
      <c r="AH16" s="41">
        <v>69.928261937380896</v>
      </c>
      <c r="AI16" s="41">
        <v>9.7105306711492592</v>
      </c>
      <c r="AJ16" s="41">
        <v>10.6</v>
      </c>
      <c r="AK16" s="41"/>
      <c r="AL16" s="41"/>
      <c r="AM16" s="41"/>
    </row>
    <row r="17" spans="1:39" s="19" customFormat="1" x14ac:dyDescent="0.25">
      <c r="A17" s="40" t="s">
        <v>33</v>
      </c>
      <c r="B17" s="13">
        <v>4</v>
      </c>
      <c r="C17" s="12" t="s">
        <v>104</v>
      </c>
      <c r="D17" s="29">
        <v>44490</v>
      </c>
      <c r="E17" s="12">
        <v>442000</v>
      </c>
      <c r="F17" s="12">
        <v>27000</v>
      </c>
      <c r="G17" s="12">
        <v>-800</v>
      </c>
      <c r="H17" s="12">
        <v>1100</v>
      </c>
      <c r="I17" s="12">
        <v>-60000</v>
      </c>
      <c r="J17" s="12">
        <v>13000</v>
      </c>
      <c r="K17" s="12">
        <v>180</v>
      </c>
      <c r="L17" s="12">
        <v>200</v>
      </c>
      <c r="M17" s="12">
        <v>712</v>
      </c>
      <c r="N17" s="12">
        <v>44</v>
      </c>
      <c r="O17" s="15">
        <v>8.1</v>
      </c>
      <c r="P17" s="12">
        <v>2640</v>
      </c>
      <c r="Q17" s="12">
        <v>650</v>
      </c>
      <c r="R17" s="12"/>
      <c r="S17" s="27">
        <v>595000</v>
      </c>
      <c r="T17" s="12">
        <v>34000</v>
      </c>
      <c r="U17" s="15">
        <v>0.55000000000000004</v>
      </c>
      <c r="V17" s="12">
        <v>48800</v>
      </c>
      <c r="W17" s="12">
        <v>3600</v>
      </c>
      <c r="X17" s="49"/>
      <c r="Y17" s="12">
        <v>773000</v>
      </c>
      <c r="Z17" s="12">
        <v>34000</v>
      </c>
      <c r="AA17" s="15"/>
      <c r="AC17" s="19">
        <v>16</v>
      </c>
      <c r="AD17" s="19" t="s">
        <v>200</v>
      </c>
      <c r="AE17" s="41">
        <v>470.737342649678</v>
      </c>
      <c r="AF17" s="41">
        <v>37.875884367084502</v>
      </c>
      <c r="AG17" s="41">
        <v>42.75</v>
      </c>
      <c r="AH17" s="41">
        <v>46.8129180782839</v>
      </c>
      <c r="AI17" s="41">
        <v>4.3779804256582997</v>
      </c>
      <c r="AJ17" s="41">
        <v>4.75</v>
      </c>
      <c r="AK17" s="41"/>
      <c r="AL17" s="41"/>
      <c r="AM17" s="41"/>
    </row>
    <row r="18" spans="1:39" s="19" customFormat="1" x14ac:dyDescent="0.25">
      <c r="A18" s="40" t="s">
        <v>33</v>
      </c>
      <c r="B18" s="13">
        <v>5</v>
      </c>
      <c r="C18" s="12" t="s">
        <v>105</v>
      </c>
      <c r="D18" s="29">
        <v>44490</v>
      </c>
      <c r="E18" s="12">
        <v>453000</v>
      </c>
      <c r="F18" s="12">
        <v>31000</v>
      </c>
      <c r="G18" s="12">
        <v>220</v>
      </c>
      <c r="H18" s="12">
        <v>880</v>
      </c>
      <c r="I18" s="12">
        <v>-30000</v>
      </c>
      <c r="J18" s="12">
        <v>15000</v>
      </c>
      <c r="K18" s="12">
        <v>90</v>
      </c>
      <c r="L18" s="12">
        <v>300</v>
      </c>
      <c r="M18" s="12">
        <v>775</v>
      </c>
      <c r="N18" s="12">
        <v>64</v>
      </c>
      <c r="O18" s="15">
        <v>8.5</v>
      </c>
      <c r="P18" s="12">
        <v>2460</v>
      </c>
      <c r="Q18" s="12">
        <v>860</v>
      </c>
      <c r="R18" s="12"/>
      <c r="S18" s="27">
        <v>626000</v>
      </c>
      <c r="T18" s="12">
        <v>51000</v>
      </c>
      <c r="U18" s="15">
        <v>0.62</v>
      </c>
      <c r="V18" s="12">
        <v>64500</v>
      </c>
      <c r="W18" s="12">
        <v>3700</v>
      </c>
      <c r="X18" s="49"/>
      <c r="Y18" s="12">
        <v>834000</v>
      </c>
      <c r="Z18" s="12">
        <v>39000</v>
      </c>
      <c r="AA18" s="15"/>
      <c r="AC18" s="19">
        <v>17</v>
      </c>
      <c r="AD18" s="19" t="s">
        <v>201</v>
      </c>
      <c r="AE18" s="41">
        <v>472.94980001823899</v>
      </c>
      <c r="AF18" s="41">
        <v>47.702489711520499</v>
      </c>
      <c r="AG18" s="41">
        <v>56.6666666666666</v>
      </c>
      <c r="AH18" s="41">
        <v>70.081447418404892</v>
      </c>
      <c r="AI18" s="41">
        <v>3.3689667848253704</v>
      </c>
      <c r="AJ18" s="41">
        <v>10.5</v>
      </c>
      <c r="AK18" s="41"/>
      <c r="AL18" s="41"/>
      <c r="AM18" s="41"/>
    </row>
    <row r="19" spans="1:39" x14ac:dyDescent="0.25">
      <c r="A19" s="39" t="s">
        <v>35</v>
      </c>
      <c r="B19" s="16">
        <v>2</v>
      </c>
      <c r="C19" s="2" t="s">
        <v>107</v>
      </c>
      <c r="D19" s="30">
        <v>44490</v>
      </c>
      <c r="E19" s="2">
        <v>315000</v>
      </c>
      <c r="F19" s="2">
        <v>32000</v>
      </c>
      <c r="G19" s="2">
        <v>-300</v>
      </c>
      <c r="H19" s="2">
        <v>1800</v>
      </c>
      <c r="I19" s="2">
        <v>12000</v>
      </c>
      <c r="J19" s="2">
        <v>18000</v>
      </c>
      <c r="K19" s="2">
        <v>-150</v>
      </c>
      <c r="L19" s="2">
        <v>280</v>
      </c>
      <c r="M19" s="2">
        <v>465</v>
      </c>
      <c r="N19" s="2">
        <v>34</v>
      </c>
      <c r="O19" s="18">
        <v>18</v>
      </c>
      <c r="P19" s="2">
        <v>3710</v>
      </c>
      <c r="Q19" s="2">
        <v>780</v>
      </c>
      <c r="R19" s="2"/>
      <c r="S19" s="31">
        <v>665000</v>
      </c>
      <c r="T19" s="2">
        <v>61000</v>
      </c>
      <c r="U19" s="18">
        <v>0.7</v>
      </c>
      <c r="V19" s="2">
        <v>150000</v>
      </c>
      <c r="W19" s="2">
        <v>15000</v>
      </c>
      <c r="X19" s="48"/>
      <c r="Y19" s="2">
        <v>725000</v>
      </c>
      <c r="Z19" s="2">
        <v>34000</v>
      </c>
      <c r="AA19" s="18"/>
      <c r="AC19">
        <v>19</v>
      </c>
      <c r="AD19" t="s">
        <v>202</v>
      </c>
      <c r="AE19" s="25">
        <v>440.644467087843</v>
      </c>
      <c r="AF19" s="25">
        <v>63.975865078005199</v>
      </c>
      <c r="AG19" s="25">
        <v>54.571428571428498</v>
      </c>
      <c r="AH19" s="25">
        <v>61.052243735006407</v>
      </c>
      <c r="AI19" s="25">
        <v>9.6842319585960297</v>
      </c>
      <c r="AJ19" s="25">
        <v>8.3214285714285694</v>
      </c>
      <c r="AK19" s="25"/>
      <c r="AL19" s="25"/>
      <c r="AM19" s="25"/>
    </row>
    <row r="20" spans="1:39" x14ac:dyDescent="0.25">
      <c r="A20" s="39" t="s">
        <v>35</v>
      </c>
      <c r="B20" s="16">
        <v>3</v>
      </c>
      <c r="C20" s="2" t="s">
        <v>108</v>
      </c>
      <c r="D20" s="30">
        <v>44490</v>
      </c>
      <c r="E20" s="2">
        <v>317000</v>
      </c>
      <c r="F20" s="2">
        <v>29000</v>
      </c>
      <c r="G20" s="2">
        <v>300</v>
      </c>
      <c r="H20" s="2">
        <v>1500</v>
      </c>
      <c r="I20" s="2">
        <v>14000</v>
      </c>
      <c r="J20" s="2">
        <v>12000</v>
      </c>
      <c r="K20" s="2">
        <v>290</v>
      </c>
      <c r="L20" s="2">
        <v>330</v>
      </c>
      <c r="M20" s="2">
        <v>429</v>
      </c>
      <c r="N20" s="2">
        <v>28</v>
      </c>
      <c r="O20" s="18">
        <v>19</v>
      </c>
      <c r="P20" s="2">
        <v>3000</v>
      </c>
      <c r="Q20" s="2">
        <v>1200</v>
      </c>
      <c r="R20" s="2"/>
      <c r="S20" s="31">
        <v>654000</v>
      </c>
      <c r="T20" s="2">
        <v>63000</v>
      </c>
      <c r="U20" s="18">
        <v>0.89</v>
      </c>
      <c r="V20" s="2">
        <v>185000</v>
      </c>
      <c r="W20" s="2">
        <v>11000</v>
      </c>
      <c r="X20" s="48"/>
      <c r="Y20" s="2">
        <v>730000</v>
      </c>
      <c r="Z20" s="2">
        <v>60000</v>
      </c>
      <c r="AA20" s="18"/>
      <c r="AC20">
        <v>20</v>
      </c>
      <c r="AD20" t="s">
        <v>203</v>
      </c>
      <c r="AE20" s="25">
        <v>340.58440047358602</v>
      </c>
      <c r="AF20" s="25">
        <v>56.984645471603102</v>
      </c>
      <c r="AG20" s="25">
        <v>39.5</v>
      </c>
      <c r="AH20" s="25">
        <v>55.067761105461102</v>
      </c>
      <c r="AI20" s="25">
        <v>7.7056991249132905</v>
      </c>
      <c r="AJ20" s="25">
        <v>6.3416666666666597</v>
      </c>
      <c r="AK20" s="25"/>
      <c r="AL20" s="25"/>
      <c r="AM20" s="25"/>
    </row>
    <row r="21" spans="1:39" x14ac:dyDescent="0.25">
      <c r="A21" s="39" t="s">
        <v>35</v>
      </c>
      <c r="B21" s="16">
        <v>4</v>
      </c>
      <c r="C21" s="2" t="s">
        <v>109</v>
      </c>
      <c r="D21" s="30">
        <v>44490</v>
      </c>
      <c r="E21" s="2">
        <v>330000</v>
      </c>
      <c r="F21" s="2">
        <v>16000</v>
      </c>
      <c r="G21" s="2">
        <v>300</v>
      </c>
      <c r="H21" s="2">
        <v>1100</v>
      </c>
      <c r="I21" s="2">
        <v>-2500</v>
      </c>
      <c r="J21" s="2">
        <v>9600</v>
      </c>
      <c r="K21" s="2">
        <v>100</v>
      </c>
      <c r="L21" s="2">
        <v>130</v>
      </c>
      <c r="M21" s="2">
        <v>369</v>
      </c>
      <c r="N21" s="2">
        <v>20</v>
      </c>
      <c r="O21" s="18">
        <v>12</v>
      </c>
      <c r="P21" s="2">
        <v>2840</v>
      </c>
      <c r="Q21" s="2">
        <v>470</v>
      </c>
      <c r="R21" s="2"/>
      <c r="S21" s="31">
        <v>589000</v>
      </c>
      <c r="T21" s="2">
        <v>38000</v>
      </c>
      <c r="U21" s="18">
        <v>0.64</v>
      </c>
      <c r="V21" s="2">
        <v>109400</v>
      </c>
      <c r="W21" s="2">
        <v>7300</v>
      </c>
      <c r="X21" s="48"/>
      <c r="Y21" s="2">
        <v>603000</v>
      </c>
      <c r="Z21" s="2">
        <v>41000</v>
      </c>
      <c r="AA21" s="18"/>
      <c r="AC21">
        <v>21</v>
      </c>
      <c r="AD21" t="s">
        <v>204</v>
      </c>
      <c r="AE21" s="25">
        <v>569.38329817331396</v>
      </c>
      <c r="AF21" s="25">
        <v>42.278354294314603</v>
      </c>
      <c r="AG21" s="25">
        <v>79.3333333333333</v>
      </c>
      <c r="AH21" s="25">
        <v>56.407085127058103</v>
      </c>
      <c r="AI21" s="25">
        <v>7.0721283368123897</v>
      </c>
      <c r="AJ21" s="25">
        <v>8.0500000000000007</v>
      </c>
      <c r="AK21" s="25"/>
      <c r="AL21" s="25"/>
      <c r="AM21" s="25"/>
    </row>
    <row r="22" spans="1:39" x14ac:dyDescent="0.25">
      <c r="A22" s="39" t="s">
        <v>35</v>
      </c>
      <c r="B22" s="16">
        <v>5</v>
      </c>
      <c r="C22" s="2" t="s">
        <v>110</v>
      </c>
      <c r="D22" s="30">
        <v>44490</v>
      </c>
      <c r="E22" s="2">
        <v>310000</v>
      </c>
      <c r="F22" s="2">
        <v>19000</v>
      </c>
      <c r="G22" s="2">
        <v>0</v>
      </c>
      <c r="H22" s="2">
        <v>1300</v>
      </c>
      <c r="I22" s="2">
        <v>-30000</v>
      </c>
      <c r="J22" s="2">
        <v>11000</v>
      </c>
      <c r="K22" s="2">
        <v>10</v>
      </c>
      <c r="L22" s="2">
        <v>250</v>
      </c>
      <c r="M22" s="2">
        <v>459</v>
      </c>
      <c r="N22" s="2">
        <v>27</v>
      </c>
      <c r="O22" s="18">
        <v>15</v>
      </c>
      <c r="P22" s="2">
        <v>3350</v>
      </c>
      <c r="Q22" s="2">
        <v>570</v>
      </c>
      <c r="R22" s="2"/>
      <c r="S22" s="31">
        <v>629000</v>
      </c>
      <c r="T22" s="2">
        <v>41000</v>
      </c>
      <c r="U22" s="18">
        <v>0.76</v>
      </c>
      <c r="V22" s="2">
        <v>105900</v>
      </c>
      <c r="W22" s="2">
        <v>6400</v>
      </c>
      <c r="X22" s="48"/>
      <c r="Y22" s="2">
        <v>649000</v>
      </c>
      <c r="Z22" s="2">
        <v>31000</v>
      </c>
      <c r="AA22" s="18"/>
      <c r="AC22">
        <v>22</v>
      </c>
      <c r="AD22" t="s">
        <v>205</v>
      </c>
      <c r="AE22" s="25">
        <v>338.95179023303001</v>
      </c>
      <c r="AF22" s="25">
        <v>48.144102300675698</v>
      </c>
      <c r="AG22" s="25">
        <v>83.5</v>
      </c>
      <c r="AH22" s="25">
        <v>73.404918859733897</v>
      </c>
      <c r="AI22" s="25">
        <v>5.8526174020888906</v>
      </c>
      <c r="AJ22" s="25">
        <v>16.175000000000001</v>
      </c>
      <c r="AK22" s="25"/>
      <c r="AL22" s="25"/>
      <c r="AM22" s="25"/>
    </row>
    <row r="23" spans="1:39" x14ac:dyDescent="0.25">
      <c r="A23" s="39" t="s">
        <v>35</v>
      </c>
      <c r="B23" s="16">
        <v>6</v>
      </c>
      <c r="C23" s="2" t="s">
        <v>111</v>
      </c>
      <c r="D23" s="30">
        <v>44490</v>
      </c>
      <c r="E23" s="2">
        <v>293000</v>
      </c>
      <c r="F23" s="2">
        <v>23000</v>
      </c>
      <c r="G23" s="2">
        <v>-100</v>
      </c>
      <c r="H23" s="2">
        <v>1500</v>
      </c>
      <c r="I23" s="2">
        <v>200</v>
      </c>
      <c r="J23" s="2">
        <v>6600</v>
      </c>
      <c r="K23" s="2">
        <v>-10</v>
      </c>
      <c r="L23" s="2">
        <v>290</v>
      </c>
      <c r="M23" s="2">
        <v>547</v>
      </c>
      <c r="N23" s="2">
        <v>42</v>
      </c>
      <c r="O23" s="18">
        <v>19</v>
      </c>
      <c r="P23" s="2">
        <v>3220</v>
      </c>
      <c r="Q23" s="2">
        <v>590</v>
      </c>
      <c r="R23" s="2"/>
      <c r="S23" s="31">
        <v>700000</v>
      </c>
      <c r="T23" s="2">
        <v>42000</v>
      </c>
      <c r="U23" s="18">
        <v>0.68</v>
      </c>
      <c r="V23" s="2">
        <v>154000</v>
      </c>
      <c r="W23" s="2">
        <v>16000</v>
      </c>
      <c r="X23" s="48"/>
      <c r="Y23" s="2">
        <v>655000</v>
      </c>
      <c r="Z23" s="2">
        <v>35000</v>
      </c>
      <c r="AA23" s="18"/>
      <c r="AC23">
        <v>23</v>
      </c>
      <c r="AD23" t="s">
        <v>212</v>
      </c>
      <c r="AE23" s="25">
        <v>153.085355854212</v>
      </c>
      <c r="AF23" s="25">
        <v>16.897535696171101</v>
      </c>
      <c r="AG23" s="25">
        <v>17.417647058823501</v>
      </c>
      <c r="AH23" s="25">
        <v>51.309017897095501</v>
      </c>
      <c r="AI23" s="25">
        <v>5.09381156368618</v>
      </c>
      <c r="AJ23" s="25">
        <v>5.2117647058823504</v>
      </c>
      <c r="AK23" s="25"/>
      <c r="AL23" s="25"/>
      <c r="AM23" s="25"/>
    </row>
    <row r="24" spans="1:39" x14ac:dyDescent="0.25">
      <c r="A24" s="39" t="s">
        <v>35</v>
      </c>
      <c r="B24" s="16">
        <v>7</v>
      </c>
      <c r="C24" s="2" t="s">
        <v>112</v>
      </c>
      <c r="D24" s="30">
        <v>44490</v>
      </c>
      <c r="E24" s="2">
        <v>303000</v>
      </c>
      <c r="F24" s="2">
        <v>29000</v>
      </c>
      <c r="G24" s="2">
        <v>-800</v>
      </c>
      <c r="H24" s="2">
        <v>1200</v>
      </c>
      <c r="I24" s="2">
        <v>90000</v>
      </c>
      <c r="J24" s="2">
        <v>22000</v>
      </c>
      <c r="K24" s="2">
        <v>450</v>
      </c>
      <c r="L24" s="2">
        <v>290</v>
      </c>
      <c r="M24" s="2">
        <v>483</v>
      </c>
      <c r="N24" s="2">
        <v>44</v>
      </c>
      <c r="O24" s="18">
        <v>19</v>
      </c>
      <c r="P24" s="2">
        <v>2450</v>
      </c>
      <c r="Q24" s="2">
        <v>770</v>
      </c>
      <c r="R24" s="2"/>
      <c r="S24" s="31">
        <v>642000</v>
      </c>
      <c r="T24" s="2">
        <v>36000</v>
      </c>
      <c r="U24" s="18">
        <v>0.9</v>
      </c>
      <c r="V24" s="2">
        <v>118600</v>
      </c>
      <c r="W24" s="2">
        <v>8300</v>
      </c>
      <c r="X24" s="48"/>
      <c r="Y24" s="2">
        <v>691000</v>
      </c>
      <c r="Z24" s="2">
        <v>55000</v>
      </c>
      <c r="AA24" s="18"/>
      <c r="AC24">
        <v>24</v>
      </c>
      <c r="AD24" t="s">
        <v>213</v>
      </c>
      <c r="AE24" s="25">
        <v>127.186911780513</v>
      </c>
      <c r="AF24" s="25">
        <v>25.248711153199501</v>
      </c>
      <c r="AG24" s="25">
        <v>19.384615384615302</v>
      </c>
      <c r="AH24" s="25">
        <v>63.771560677456797</v>
      </c>
      <c r="AI24" s="25">
        <v>7.0702257835853901</v>
      </c>
      <c r="AJ24" s="25">
        <v>12.5692307692307</v>
      </c>
      <c r="AK24" s="25"/>
      <c r="AL24" s="25"/>
      <c r="AM24" s="25"/>
    </row>
    <row r="25" spans="1:39" s="19" customFormat="1" x14ac:dyDescent="0.25">
      <c r="A25" s="40" t="s">
        <v>36</v>
      </c>
      <c r="B25" s="13">
        <v>1</v>
      </c>
      <c r="C25" s="12" t="s">
        <v>113</v>
      </c>
      <c r="D25" s="29">
        <v>44490</v>
      </c>
      <c r="E25" s="12">
        <v>376000</v>
      </c>
      <c r="F25" s="12">
        <v>39000</v>
      </c>
      <c r="G25" s="12">
        <v>0</v>
      </c>
      <c r="H25" s="12">
        <v>1200</v>
      </c>
      <c r="I25" s="12">
        <v>220000</v>
      </c>
      <c r="J25" s="12">
        <v>140000</v>
      </c>
      <c r="K25" s="12">
        <v>2900</v>
      </c>
      <c r="L25" s="12">
        <v>1800</v>
      </c>
      <c r="M25" s="12">
        <v>432</v>
      </c>
      <c r="N25" s="12">
        <v>36</v>
      </c>
      <c r="O25" s="15">
        <v>10</v>
      </c>
      <c r="P25" s="12">
        <v>510</v>
      </c>
      <c r="Q25" s="12">
        <v>340</v>
      </c>
      <c r="R25" s="12"/>
      <c r="S25" s="27">
        <v>517000</v>
      </c>
      <c r="T25" s="12">
        <v>52000</v>
      </c>
      <c r="U25" s="15">
        <v>0.5</v>
      </c>
      <c r="V25" s="12">
        <v>94000</v>
      </c>
      <c r="W25" s="12">
        <v>12000</v>
      </c>
      <c r="X25" s="49"/>
      <c r="Y25" s="12">
        <v>606000</v>
      </c>
      <c r="Z25" s="12">
        <v>57000</v>
      </c>
      <c r="AA25" s="15"/>
      <c r="AC25" s="19">
        <v>25</v>
      </c>
      <c r="AD25" s="19" t="s">
        <v>214</v>
      </c>
      <c r="AE25" s="41">
        <v>154.523379703877</v>
      </c>
      <c r="AF25" s="41">
        <v>15.0620192395624</v>
      </c>
      <c r="AG25" s="41">
        <v>12.355555555555499</v>
      </c>
      <c r="AH25" s="41">
        <v>49.516033207578495</v>
      </c>
      <c r="AI25" s="41">
        <v>4.0554715766478298</v>
      </c>
      <c r="AJ25" s="41">
        <v>3.5333333333333301</v>
      </c>
      <c r="AK25" s="41"/>
      <c r="AL25" s="41"/>
      <c r="AM25" s="41"/>
    </row>
    <row r="26" spans="1:39" s="19" customFormat="1" x14ac:dyDescent="0.25">
      <c r="A26" s="40" t="s">
        <v>36</v>
      </c>
      <c r="B26" s="13">
        <v>2</v>
      </c>
      <c r="C26" s="12" t="s">
        <v>114</v>
      </c>
      <c r="D26" s="29">
        <v>44490</v>
      </c>
      <c r="E26" s="12">
        <v>303000</v>
      </c>
      <c r="F26" s="12">
        <v>29000</v>
      </c>
      <c r="G26" s="12">
        <v>-600</v>
      </c>
      <c r="H26" s="12">
        <v>1900</v>
      </c>
      <c r="I26" s="12">
        <v>15000</v>
      </c>
      <c r="J26" s="12">
        <v>16000</v>
      </c>
      <c r="K26" s="12">
        <v>310</v>
      </c>
      <c r="L26" s="12">
        <v>380</v>
      </c>
      <c r="M26" s="12">
        <v>387</v>
      </c>
      <c r="N26" s="12">
        <v>31</v>
      </c>
      <c r="O26" s="15">
        <v>21</v>
      </c>
      <c r="P26" s="12">
        <v>1180</v>
      </c>
      <c r="Q26" s="12">
        <v>970</v>
      </c>
      <c r="R26" s="12"/>
      <c r="S26" s="27">
        <v>606000</v>
      </c>
      <c r="T26" s="12">
        <v>61000</v>
      </c>
      <c r="U26" s="15">
        <v>0.96</v>
      </c>
      <c r="V26" s="12">
        <v>91900</v>
      </c>
      <c r="W26" s="12">
        <v>8500</v>
      </c>
      <c r="X26" s="49"/>
      <c r="Y26" s="12">
        <v>582000</v>
      </c>
      <c r="Z26" s="12">
        <v>42000</v>
      </c>
      <c r="AA26" s="15"/>
      <c r="AC26" s="19">
        <v>26</v>
      </c>
      <c r="AD26" s="19" t="s">
        <v>215</v>
      </c>
      <c r="AE26" s="41">
        <v>73.793964113010603</v>
      </c>
      <c r="AF26" s="41">
        <v>18.385792599714801</v>
      </c>
      <c r="AG26" s="41">
        <v>10.4777777777777</v>
      </c>
      <c r="AH26" s="41">
        <v>66.2285036040726</v>
      </c>
      <c r="AI26" s="41">
        <v>5.6539152384240001</v>
      </c>
      <c r="AJ26" s="41">
        <v>7.3333333333333304</v>
      </c>
      <c r="AK26" s="41"/>
      <c r="AL26" s="41"/>
      <c r="AM26" s="41"/>
    </row>
    <row r="27" spans="1:39" s="19" customFormat="1" x14ac:dyDescent="0.25">
      <c r="A27" s="40" t="s">
        <v>36</v>
      </c>
      <c r="B27" s="13">
        <v>3</v>
      </c>
      <c r="C27" s="12" t="s">
        <v>115</v>
      </c>
      <c r="D27" s="29">
        <v>44490</v>
      </c>
      <c r="E27" s="12">
        <v>295000</v>
      </c>
      <c r="F27" s="12">
        <v>19000</v>
      </c>
      <c r="G27" s="12">
        <v>320</v>
      </c>
      <c r="H27" s="12">
        <v>820</v>
      </c>
      <c r="I27" s="12">
        <v>112000</v>
      </c>
      <c r="J27" s="12">
        <v>86000</v>
      </c>
      <c r="K27" s="12">
        <v>1600</v>
      </c>
      <c r="L27" s="12">
        <v>1300</v>
      </c>
      <c r="M27" s="12">
        <v>436</v>
      </c>
      <c r="N27" s="12">
        <v>26</v>
      </c>
      <c r="O27" s="15">
        <v>14</v>
      </c>
      <c r="P27" s="12">
        <v>490</v>
      </c>
      <c r="Q27" s="12">
        <v>380</v>
      </c>
      <c r="R27" s="12"/>
      <c r="S27" s="27">
        <v>542000</v>
      </c>
      <c r="T27" s="12">
        <v>28000</v>
      </c>
      <c r="U27" s="15">
        <v>0.93</v>
      </c>
      <c r="V27" s="12">
        <v>71300</v>
      </c>
      <c r="W27" s="12">
        <v>5800</v>
      </c>
      <c r="X27" s="49"/>
      <c r="Y27" s="12">
        <v>550000</v>
      </c>
      <c r="Z27" s="12">
        <v>44000</v>
      </c>
      <c r="AA27" s="15"/>
      <c r="AC27" s="19">
        <v>27</v>
      </c>
      <c r="AD27" s="19" t="s">
        <v>216</v>
      </c>
      <c r="AE27" s="41">
        <v>111.146477094617</v>
      </c>
      <c r="AF27" s="41">
        <v>10.0352838259567</v>
      </c>
      <c r="AG27" s="41">
        <v>12.1444444444444</v>
      </c>
      <c r="AH27" s="41">
        <v>53.133241771558602</v>
      </c>
      <c r="AI27" s="41">
        <v>6.79512366345004</v>
      </c>
      <c r="AJ27" s="41">
        <v>7.1</v>
      </c>
      <c r="AK27" s="41"/>
      <c r="AL27" s="41"/>
      <c r="AM27" s="41"/>
    </row>
    <row r="28" spans="1:39" s="19" customFormat="1" x14ac:dyDescent="0.25">
      <c r="A28" s="40" t="s">
        <v>36</v>
      </c>
      <c r="B28" s="13">
        <v>4</v>
      </c>
      <c r="C28" s="12" t="s">
        <v>116</v>
      </c>
      <c r="D28" s="29">
        <v>44490</v>
      </c>
      <c r="E28" s="12">
        <v>277000</v>
      </c>
      <c r="F28" s="12">
        <v>50000</v>
      </c>
      <c r="G28" s="12">
        <v>300</v>
      </c>
      <c r="H28" s="12">
        <v>4600</v>
      </c>
      <c r="I28" s="12">
        <v>14000</v>
      </c>
      <c r="J28" s="12">
        <v>20000</v>
      </c>
      <c r="K28" s="12">
        <v>-230</v>
      </c>
      <c r="L28" s="12">
        <v>480</v>
      </c>
      <c r="M28" s="12">
        <v>395</v>
      </c>
      <c r="N28" s="12">
        <v>33</v>
      </c>
      <c r="O28" s="15">
        <v>24</v>
      </c>
      <c r="P28" s="12">
        <v>750</v>
      </c>
      <c r="Q28" s="12">
        <v>970</v>
      </c>
      <c r="R28" s="12"/>
      <c r="S28" s="27">
        <v>553000</v>
      </c>
      <c r="T28" s="12">
        <v>45000</v>
      </c>
      <c r="U28" s="15">
        <v>1.9</v>
      </c>
      <c r="V28" s="12">
        <v>80400</v>
      </c>
      <c r="W28" s="12">
        <v>6600</v>
      </c>
      <c r="X28" s="49"/>
      <c r="Y28" s="12">
        <v>601000</v>
      </c>
      <c r="Z28" s="12">
        <v>81000</v>
      </c>
      <c r="AA28" s="15"/>
      <c r="AC28" s="19">
        <v>28</v>
      </c>
      <c r="AD28" s="24" t="s">
        <v>181</v>
      </c>
      <c r="AE28" s="42">
        <v>419.78527201193998</v>
      </c>
      <c r="AF28" s="42">
        <v>108.362679745509</v>
      </c>
      <c r="AG28" s="42">
        <v>67.384362825844804</v>
      </c>
      <c r="AH28" s="41">
        <v>43.733342962655698</v>
      </c>
      <c r="AI28" s="41">
        <v>3.86960475039468</v>
      </c>
      <c r="AJ28" s="41">
        <v>6.3436785755784495</v>
      </c>
      <c r="AK28" s="41"/>
      <c r="AL28" s="41"/>
      <c r="AM28" s="41"/>
    </row>
    <row r="29" spans="1:39" s="19" customFormat="1" x14ac:dyDescent="0.25">
      <c r="A29" s="40" t="s">
        <v>36</v>
      </c>
      <c r="B29" s="13">
        <v>5</v>
      </c>
      <c r="C29" s="12" t="s">
        <v>117</v>
      </c>
      <c r="D29" s="29">
        <v>44490</v>
      </c>
      <c r="E29" s="12">
        <v>284000</v>
      </c>
      <c r="F29" s="12">
        <v>19000</v>
      </c>
      <c r="G29" s="12">
        <v>-1200</v>
      </c>
      <c r="H29" s="12">
        <v>1100</v>
      </c>
      <c r="I29" s="12">
        <v>4300</v>
      </c>
      <c r="J29" s="12">
        <v>9000</v>
      </c>
      <c r="K29" s="12">
        <v>-10</v>
      </c>
      <c r="L29" s="12">
        <v>200</v>
      </c>
      <c r="M29" s="12">
        <v>414</v>
      </c>
      <c r="N29" s="12">
        <v>42</v>
      </c>
      <c r="O29" s="15">
        <v>14</v>
      </c>
      <c r="P29" s="12">
        <v>580</v>
      </c>
      <c r="Q29" s="12">
        <v>450</v>
      </c>
      <c r="R29" s="12"/>
      <c r="S29" s="27">
        <v>628000</v>
      </c>
      <c r="T29" s="12">
        <v>41000</v>
      </c>
      <c r="U29" s="15">
        <v>1.3</v>
      </c>
      <c r="V29" s="12">
        <v>91500</v>
      </c>
      <c r="W29" s="12">
        <v>7600</v>
      </c>
      <c r="X29" s="49"/>
      <c r="Y29" s="12">
        <v>569000</v>
      </c>
      <c r="Z29" s="12">
        <v>36000</v>
      </c>
      <c r="AA29" s="15"/>
      <c r="AC29" s="19">
        <v>29</v>
      </c>
      <c r="AD29" s="24" t="s">
        <v>182</v>
      </c>
      <c r="AE29" s="42">
        <v>414.39063120211199</v>
      </c>
      <c r="AF29" s="42">
        <v>25.667741198786299</v>
      </c>
      <c r="AG29" s="42">
        <v>108.108084513682</v>
      </c>
      <c r="AH29" s="41">
        <v>75.390700274744304</v>
      </c>
      <c r="AI29" s="41">
        <v>7.96927997335243</v>
      </c>
      <c r="AJ29" s="41">
        <v>22.658130931668602</v>
      </c>
      <c r="AK29" s="41"/>
      <c r="AL29" s="41"/>
      <c r="AM29" s="41"/>
    </row>
    <row r="30" spans="1:39" s="19" customFormat="1" x14ac:dyDescent="0.25">
      <c r="A30" s="40" t="s">
        <v>36</v>
      </c>
      <c r="B30" s="13">
        <v>6</v>
      </c>
      <c r="C30" s="12" t="s">
        <v>118</v>
      </c>
      <c r="D30" s="29">
        <v>44490</v>
      </c>
      <c r="E30" s="12">
        <v>378000</v>
      </c>
      <c r="F30" s="12">
        <v>22000</v>
      </c>
      <c r="G30" s="12">
        <v>-200</v>
      </c>
      <c r="H30" s="12">
        <v>1000</v>
      </c>
      <c r="I30" s="12">
        <v>50000</v>
      </c>
      <c r="J30" s="12">
        <v>11000</v>
      </c>
      <c r="K30" s="12">
        <v>-10</v>
      </c>
      <c r="L30" s="12">
        <v>170</v>
      </c>
      <c r="M30" s="12">
        <v>382</v>
      </c>
      <c r="N30" s="12">
        <v>33</v>
      </c>
      <c r="O30" s="15">
        <v>11</v>
      </c>
      <c r="P30" s="12">
        <v>850</v>
      </c>
      <c r="Q30" s="12">
        <v>460</v>
      </c>
      <c r="R30" s="12"/>
      <c r="S30" s="27">
        <v>567000</v>
      </c>
      <c r="T30" s="12">
        <v>44000</v>
      </c>
      <c r="U30" s="15">
        <v>0.75</v>
      </c>
      <c r="V30" s="12">
        <v>114000</v>
      </c>
      <c r="W30" s="12">
        <v>11000</v>
      </c>
      <c r="X30" s="49"/>
      <c r="Y30" s="12">
        <v>646000</v>
      </c>
      <c r="Z30" s="12">
        <v>46000</v>
      </c>
      <c r="AA30" s="15"/>
      <c r="AC30" s="19">
        <v>30</v>
      </c>
      <c r="AD30" s="19" t="s">
        <v>58</v>
      </c>
      <c r="AE30" s="41">
        <v>384.946059926847</v>
      </c>
      <c r="AF30" s="41">
        <v>24.5671734533876</v>
      </c>
      <c r="AG30" s="41">
        <v>75.6666666666666</v>
      </c>
      <c r="AH30" s="41">
        <v>75.669820068756508</v>
      </c>
      <c r="AI30" s="41">
        <v>7.398309255754179</v>
      </c>
      <c r="AJ30" s="41">
        <v>12.983333333333299</v>
      </c>
      <c r="AK30" s="41"/>
      <c r="AL30" s="41"/>
      <c r="AM30" s="41"/>
    </row>
    <row r="31" spans="1:39" x14ac:dyDescent="0.25">
      <c r="A31" s="2" t="s">
        <v>51</v>
      </c>
      <c r="B31" s="16">
        <v>1</v>
      </c>
      <c r="C31" s="2" t="s">
        <v>119</v>
      </c>
      <c r="D31" s="30">
        <v>44455</v>
      </c>
      <c r="E31" s="2">
        <v>404000</v>
      </c>
      <c r="F31" s="2">
        <v>52000</v>
      </c>
      <c r="G31" s="2">
        <v>50</v>
      </c>
      <c r="H31" s="2">
        <v>400</v>
      </c>
      <c r="I31" s="2">
        <v>-900</v>
      </c>
      <c r="J31" s="2">
        <v>5900</v>
      </c>
      <c r="K31" s="2">
        <v>-40</v>
      </c>
      <c r="L31" s="2">
        <v>110</v>
      </c>
      <c r="M31" s="2">
        <v>370</v>
      </c>
      <c r="N31" s="2">
        <v>41</v>
      </c>
      <c r="O31" s="18">
        <v>3.4</v>
      </c>
      <c r="P31" s="2">
        <v>1790</v>
      </c>
      <c r="Q31" s="2">
        <v>410</v>
      </c>
      <c r="R31" s="2"/>
      <c r="S31" s="31">
        <v>680000</v>
      </c>
      <c r="T31" s="2">
        <v>140000</v>
      </c>
      <c r="U31" s="18">
        <v>0.65</v>
      </c>
      <c r="V31" s="2">
        <v>41200</v>
      </c>
      <c r="W31" s="2">
        <v>6900</v>
      </c>
      <c r="X31" s="48"/>
      <c r="Y31" s="2"/>
      <c r="Z31" s="2"/>
      <c r="AA31" s="18"/>
      <c r="AC31">
        <v>31</v>
      </c>
      <c r="AD31" t="s">
        <v>59</v>
      </c>
      <c r="AE31" s="25">
        <v>436.41582142873301</v>
      </c>
      <c r="AF31" s="25">
        <v>46.591182742567398</v>
      </c>
      <c r="AG31" s="25">
        <v>84.8</v>
      </c>
      <c r="AH31" s="25">
        <v>65.266622648389202</v>
      </c>
      <c r="AI31" s="25">
        <v>8.9345374177036998</v>
      </c>
      <c r="AJ31" s="25">
        <v>12.4</v>
      </c>
      <c r="AK31" s="25"/>
      <c r="AL31" s="25"/>
      <c r="AM31" s="25"/>
    </row>
    <row r="32" spans="1:39" x14ac:dyDescent="0.25">
      <c r="A32" s="2" t="s">
        <v>51</v>
      </c>
      <c r="B32" s="16">
        <v>2</v>
      </c>
      <c r="C32" s="2" t="s">
        <v>120</v>
      </c>
      <c r="D32" s="30">
        <v>44455</v>
      </c>
      <c r="E32" s="2">
        <v>452000</v>
      </c>
      <c r="F32" s="2">
        <v>57000</v>
      </c>
      <c r="G32" s="2">
        <v>730</v>
      </c>
      <c r="H32" s="2">
        <v>440</v>
      </c>
      <c r="I32" s="2">
        <v>-5100</v>
      </c>
      <c r="J32" s="2">
        <v>6100</v>
      </c>
      <c r="K32" s="2">
        <v>170</v>
      </c>
      <c r="L32" s="2">
        <v>130</v>
      </c>
      <c r="M32" s="2">
        <v>487</v>
      </c>
      <c r="N32" s="2">
        <v>60</v>
      </c>
      <c r="O32" s="18">
        <v>3.1</v>
      </c>
      <c r="P32" s="2">
        <v>2110</v>
      </c>
      <c r="Q32" s="2">
        <v>530</v>
      </c>
      <c r="R32" s="2"/>
      <c r="S32" s="31">
        <v>720000</v>
      </c>
      <c r="T32" s="2">
        <v>160000</v>
      </c>
      <c r="U32" s="18">
        <v>0.28000000000000003</v>
      </c>
      <c r="V32" s="2">
        <v>71000</v>
      </c>
      <c r="W32" s="2">
        <v>10000</v>
      </c>
      <c r="X32" s="48"/>
      <c r="Y32" s="2"/>
      <c r="Z32" s="2"/>
      <c r="AA32" s="18"/>
      <c r="AC32">
        <v>32</v>
      </c>
      <c r="AD32" t="s">
        <v>60</v>
      </c>
      <c r="AE32" s="25">
        <v>179.041420313271</v>
      </c>
      <c r="AF32" s="25">
        <v>37.948356851568803</v>
      </c>
      <c r="AG32" s="25">
        <v>40</v>
      </c>
      <c r="AH32" s="25">
        <v>55.569830368267695</v>
      </c>
      <c r="AI32" s="25">
        <v>10.4220432998773</v>
      </c>
      <c r="AJ32" s="25">
        <v>13.3666666666666</v>
      </c>
      <c r="AK32" s="25"/>
      <c r="AL32" s="25"/>
      <c r="AM32" s="25"/>
    </row>
    <row r="33" spans="1:39" x14ac:dyDescent="0.25">
      <c r="A33" s="2" t="s">
        <v>51</v>
      </c>
      <c r="B33" s="16">
        <v>3</v>
      </c>
      <c r="C33" s="2" t="s">
        <v>121</v>
      </c>
      <c r="D33" s="30">
        <v>44455</v>
      </c>
      <c r="E33" s="2">
        <v>358000</v>
      </c>
      <c r="F33" s="2">
        <v>42000</v>
      </c>
      <c r="G33" s="2">
        <v>0</v>
      </c>
      <c r="H33" s="2">
        <v>410</v>
      </c>
      <c r="I33" s="2">
        <v>2800</v>
      </c>
      <c r="J33" s="2">
        <v>5800</v>
      </c>
      <c r="K33" s="2">
        <v>50</v>
      </c>
      <c r="L33" s="2">
        <v>110</v>
      </c>
      <c r="M33" s="2">
        <v>374</v>
      </c>
      <c r="N33" s="2">
        <v>41</v>
      </c>
      <c r="O33" s="18">
        <v>3.9</v>
      </c>
      <c r="P33" s="2">
        <v>2380</v>
      </c>
      <c r="Q33" s="2">
        <v>380</v>
      </c>
      <c r="R33" s="2"/>
      <c r="S33" s="31">
        <v>620000</v>
      </c>
      <c r="T33" s="2">
        <v>110000</v>
      </c>
      <c r="U33" s="18">
        <v>0.6</v>
      </c>
      <c r="V33" s="2">
        <v>41100</v>
      </c>
      <c r="W33" s="2">
        <v>5900</v>
      </c>
      <c r="X33" s="48"/>
      <c r="Y33" s="2"/>
      <c r="Z33" s="2"/>
      <c r="AA33" s="18"/>
      <c r="AC33">
        <v>33</v>
      </c>
      <c r="AD33" t="s">
        <v>47</v>
      </c>
      <c r="AE33" s="25">
        <v>154.55709995687101</v>
      </c>
      <c r="AF33" s="25">
        <v>13.085604087217201</v>
      </c>
      <c r="AG33" s="25">
        <v>18.8</v>
      </c>
      <c r="AH33" s="25">
        <v>49.006878630471803</v>
      </c>
      <c r="AI33" s="25">
        <v>3.6928965012473096</v>
      </c>
      <c r="AJ33" s="25">
        <v>5.98</v>
      </c>
      <c r="AK33" s="25"/>
      <c r="AL33" s="25"/>
      <c r="AM33" s="25"/>
    </row>
    <row r="34" spans="1:39" x14ac:dyDescent="0.25">
      <c r="A34" s="2" t="s">
        <v>51</v>
      </c>
      <c r="B34" s="16">
        <v>4</v>
      </c>
      <c r="C34" s="2" t="s">
        <v>122</v>
      </c>
      <c r="D34" s="30">
        <v>44455</v>
      </c>
      <c r="E34" s="2">
        <v>354000</v>
      </c>
      <c r="F34" s="2">
        <v>59000</v>
      </c>
      <c r="G34" s="2">
        <v>-260</v>
      </c>
      <c r="H34" s="2">
        <v>680</v>
      </c>
      <c r="I34" s="2">
        <v>1200</v>
      </c>
      <c r="J34" s="2">
        <v>9300</v>
      </c>
      <c r="K34" s="2">
        <v>-130</v>
      </c>
      <c r="L34" s="2">
        <v>150</v>
      </c>
      <c r="M34" s="2">
        <v>431</v>
      </c>
      <c r="N34" s="2">
        <v>54</v>
      </c>
      <c r="O34" s="18">
        <v>4</v>
      </c>
      <c r="P34" s="2">
        <v>2110</v>
      </c>
      <c r="Q34" s="2">
        <v>570</v>
      </c>
      <c r="R34" s="2"/>
      <c r="S34" s="31">
        <v>720000</v>
      </c>
      <c r="T34" s="2">
        <v>190000</v>
      </c>
      <c r="U34" s="18">
        <v>0.5</v>
      </c>
      <c r="V34" s="2">
        <v>41400</v>
      </c>
      <c r="W34" s="2">
        <v>6700</v>
      </c>
      <c r="X34" s="48"/>
      <c r="Y34" s="2"/>
      <c r="Z34" s="2"/>
      <c r="AA34" s="18"/>
      <c r="AC34">
        <v>34</v>
      </c>
      <c r="AD34" t="s">
        <v>48</v>
      </c>
      <c r="AE34" s="25">
        <v>439.96819221980502</v>
      </c>
      <c r="AF34" s="25">
        <v>48.336942425967301</v>
      </c>
      <c r="AG34" s="25">
        <v>75.599999999999994</v>
      </c>
      <c r="AH34" s="25">
        <v>61.014837022121206</v>
      </c>
      <c r="AI34" s="25">
        <v>5.8764341617739699</v>
      </c>
      <c r="AJ34" s="25">
        <v>11.9</v>
      </c>
      <c r="AK34" s="25"/>
      <c r="AL34" s="25"/>
      <c r="AM34" s="25"/>
    </row>
    <row r="35" spans="1:39" x14ac:dyDescent="0.25">
      <c r="A35" s="2" t="s">
        <v>51</v>
      </c>
      <c r="B35" s="16">
        <v>6</v>
      </c>
      <c r="C35" s="2" t="s">
        <v>123</v>
      </c>
      <c r="D35" s="30">
        <v>44455</v>
      </c>
      <c r="E35" s="2">
        <v>527000</v>
      </c>
      <c r="F35" s="2">
        <v>86000</v>
      </c>
      <c r="G35" s="2">
        <v>-570</v>
      </c>
      <c r="H35" s="2">
        <v>860</v>
      </c>
      <c r="I35" s="2">
        <v>-10000</v>
      </c>
      <c r="J35" s="2">
        <v>11000</v>
      </c>
      <c r="K35" s="2">
        <v>-70</v>
      </c>
      <c r="L35" s="2">
        <v>180</v>
      </c>
      <c r="M35" s="2">
        <v>485</v>
      </c>
      <c r="N35" s="2">
        <v>84</v>
      </c>
      <c r="O35" s="18">
        <v>4</v>
      </c>
      <c r="P35" s="2">
        <v>2040</v>
      </c>
      <c r="Q35" s="2">
        <v>930</v>
      </c>
      <c r="R35" s="2"/>
      <c r="S35" s="31">
        <v>780000</v>
      </c>
      <c r="T35" s="2">
        <v>310000</v>
      </c>
      <c r="U35" s="18">
        <v>0.41</v>
      </c>
      <c r="V35" s="2">
        <v>65000</v>
      </c>
      <c r="W35" s="2">
        <v>12000</v>
      </c>
      <c r="X35" s="48"/>
      <c r="Y35" s="2"/>
      <c r="Z35" s="2"/>
      <c r="AA35" s="18"/>
      <c r="AC35">
        <v>36</v>
      </c>
      <c r="AD35" t="s">
        <v>206</v>
      </c>
      <c r="AE35" s="25">
        <v>555.61416515507904</v>
      </c>
      <c r="AF35" s="25">
        <v>66.155868797986798</v>
      </c>
      <c r="AG35" s="25">
        <v>90</v>
      </c>
      <c r="AH35" s="25">
        <v>70.369156498285392</v>
      </c>
      <c r="AI35" s="25">
        <v>15.351990629401701</v>
      </c>
      <c r="AJ35" s="25">
        <v>17.824999999999999</v>
      </c>
      <c r="AK35" s="25"/>
      <c r="AL35" s="25"/>
      <c r="AM35" s="25"/>
    </row>
    <row r="36" spans="1:39" s="19" customFormat="1" x14ac:dyDescent="0.25">
      <c r="A36" s="40" t="s">
        <v>37</v>
      </c>
      <c r="B36" s="13">
        <v>1</v>
      </c>
      <c r="C36" s="12" t="s">
        <v>76</v>
      </c>
      <c r="D36" s="29">
        <v>44515</v>
      </c>
      <c r="E36" s="12">
        <v>261000</v>
      </c>
      <c r="F36" s="12">
        <v>17000</v>
      </c>
      <c r="G36" s="12">
        <v>300</v>
      </c>
      <c r="H36" s="12">
        <v>600</v>
      </c>
      <c r="I36" s="12">
        <v>1000</v>
      </c>
      <c r="J36" s="12">
        <v>4100</v>
      </c>
      <c r="K36" s="12">
        <v>-40</v>
      </c>
      <c r="L36" s="12">
        <v>100</v>
      </c>
      <c r="M36" s="12">
        <v>306</v>
      </c>
      <c r="N36" s="12">
        <v>28</v>
      </c>
      <c r="O36" s="15">
        <v>4.5</v>
      </c>
      <c r="P36" s="12">
        <v>143</v>
      </c>
      <c r="Q36" s="12">
        <v>18</v>
      </c>
      <c r="R36" s="12">
        <v>27</v>
      </c>
      <c r="S36" s="27">
        <v>461000</v>
      </c>
      <c r="T36" s="12">
        <v>32000</v>
      </c>
      <c r="U36" s="15">
        <v>0.89</v>
      </c>
      <c r="V36" s="12">
        <v>1161</v>
      </c>
      <c r="W36" s="12">
        <v>83</v>
      </c>
      <c r="X36" s="49">
        <v>5.5E-2</v>
      </c>
      <c r="Y36" s="12">
        <v>8830</v>
      </c>
      <c r="Z36" s="12">
        <v>550</v>
      </c>
      <c r="AA36" s="15">
        <v>0.12</v>
      </c>
      <c r="AC36" s="19">
        <v>37</v>
      </c>
      <c r="AD36" s="19" t="s">
        <v>207</v>
      </c>
      <c r="AE36" s="41">
        <v>467.76005217232</v>
      </c>
      <c r="AF36" s="41">
        <v>56.234165009105602</v>
      </c>
      <c r="AG36" s="41">
        <v>92.428571428571402</v>
      </c>
      <c r="AH36" s="41">
        <v>69.973596241675097</v>
      </c>
      <c r="AI36" s="41">
        <v>12.0260063702405</v>
      </c>
      <c r="AJ36" s="41">
        <v>23.4</v>
      </c>
      <c r="AK36" s="41"/>
      <c r="AL36" s="41"/>
      <c r="AM36" s="41"/>
    </row>
    <row r="37" spans="1:39" s="19" customFormat="1" x14ac:dyDescent="0.25">
      <c r="A37" s="40" t="s">
        <v>37</v>
      </c>
      <c r="B37" s="13">
        <v>2</v>
      </c>
      <c r="C37" s="12" t="s">
        <v>77</v>
      </c>
      <c r="D37" s="29">
        <v>44515</v>
      </c>
      <c r="E37" s="12">
        <v>244000</v>
      </c>
      <c r="F37" s="12">
        <v>16000</v>
      </c>
      <c r="G37" s="12">
        <v>-330</v>
      </c>
      <c r="H37" s="12">
        <v>550</v>
      </c>
      <c r="I37" s="12">
        <v>900</v>
      </c>
      <c r="J37" s="12">
        <v>4100</v>
      </c>
      <c r="K37" s="12">
        <v>-89</v>
      </c>
      <c r="L37" s="12">
        <v>99</v>
      </c>
      <c r="M37" s="12">
        <v>322</v>
      </c>
      <c r="N37" s="12">
        <v>24</v>
      </c>
      <c r="O37" s="15">
        <v>4</v>
      </c>
      <c r="P37" s="12">
        <v>118</v>
      </c>
      <c r="Q37" s="12">
        <v>16</v>
      </c>
      <c r="R37" s="12">
        <v>27</v>
      </c>
      <c r="S37" s="27">
        <v>466000</v>
      </c>
      <c r="T37" s="12">
        <v>31000</v>
      </c>
      <c r="U37" s="15">
        <v>0.55000000000000004</v>
      </c>
      <c r="V37" s="12">
        <v>1072</v>
      </c>
      <c r="W37" s="12">
        <v>87</v>
      </c>
      <c r="X37" s="49">
        <v>8.5000000000000006E-2</v>
      </c>
      <c r="Y37" s="12">
        <v>8810</v>
      </c>
      <c r="Z37" s="12">
        <v>520</v>
      </c>
      <c r="AA37" s="15">
        <v>0.13</v>
      </c>
      <c r="AH37" s="41"/>
      <c r="AI37" s="41"/>
      <c r="AJ37" s="41"/>
    </row>
    <row r="38" spans="1:39" s="19" customFormat="1" x14ac:dyDescent="0.25">
      <c r="A38" s="40" t="s">
        <v>37</v>
      </c>
      <c r="B38" s="13">
        <v>3</v>
      </c>
      <c r="C38" s="12" t="s">
        <v>78</v>
      </c>
      <c r="D38" s="29">
        <v>44515</v>
      </c>
      <c r="E38" s="12">
        <v>281000</v>
      </c>
      <c r="F38" s="12">
        <v>18000</v>
      </c>
      <c r="G38" s="12">
        <v>240</v>
      </c>
      <c r="H38" s="12">
        <v>670</v>
      </c>
      <c r="I38" s="12">
        <v>-3500</v>
      </c>
      <c r="J38" s="12">
        <v>4400</v>
      </c>
      <c r="K38" s="12">
        <v>-80</v>
      </c>
      <c r="L38" s="12">
        <v>110</v>
      </c>
      <c r="M38" s="12">
        <v>289</v>
      </c>
      <c r="N38" s="12">
        <v>28</v>
      </c>
      <c r="O38" s="15">
        <v>4.7</v>
      </c>
      <c r="P38" s="12">
        <v>91</v>
      </c>
      <c r="Q38" s="12">
        <v>17</v>
      </c>
      <c r="R38" s="12">
        <v>24</v>
      </c>
      <c r="S38" s="27">
        <v>527000</v>
      </c>
      <c r="T38" s="12">
        <v>38000</v>
      </c>
      <c r="U38" s="15">
        <v>0.76</v>
      </c>
      <c r="V38" s="12">
        <v>727</v>
      </c>
      <c r="W38" s="12">
        <v>59</v>
      </c>
      <c r="X38" s="49">
        <v>4.8000000000000001E-2</v>
      </c>
      <c r="Y38" s="12">
        <v>9380</v>
      </c>
      <c r="Z38" s="12">
        <v>660</v>
      </c>
      <c r="AA38" s="15">
        <v>0.12</v>
      </c>
      <c r="AH38" s="41"/>
      <c r="AI38" s="41"/>
      <c r="AJ38" s="41"/>
    </row>
    <row r="39" spans="1:39" s="19" customFormat="1" x14ac:dyDescent="0.25">
      <c r="A39" s="40" t="s">
        <v>37</v>
      </c>
      <c r="B39" s="13">
        <v>4</v>
      </c>
      <c r="C39" s="12" t="s">
        <v>79</v>
      </c>
      <c r="D39" s="29">
        <v>44515</v>
      </c>
      <c r="E39" s="12">
        <v>237000</v>
      </c>
      <c r="F39" s="12">
        <v>17000</v>
      </c>
      <c r="G39" s="12">
        <v>-230</v>
      </c>
      <c r="H39" s="12">
        <v>540</v>
      </c>
      <c r="I39" s="12">
        <v>-2000</v>
      </c>
      <c r="J39" s="12">
        <v>4100</v>
      </c>
      <c r="K39" s="12">
        <v>0</v>
      </c>
      <c r="L39" s="12">
        <v>100</v>
      </c>
      <c r="M39" s="12">
        <v>317</v>
      </c>
      <c r="N39" s="12">
        <v>26</v>
      </c>
      <c r="O39" s="15">
        <v>5</v>
      </c>
      <c r="P39" s="12">
        <v>110</v>
      </c>
      <c r="Q39" s="12">
        <v>20</v>
      </c>
      <c r="R39" s="12">
        <v>27</v>
      </c>
      <c r="S39" s="27">
        <v>467000</v>
      </c>
      <c r="T39" s="12">
        <v>30000</v>
      </c>
      <c r="U39" s="15">
        <v>0.78</v>
      </c>
      <c r="V39" s="12">
        <v>983</v>
      </c>
      <c r="W39" s="12">
        <v>94</v>
      </c>
      <c r="X39" s="49">
        <v>8.8999999999999996E-2</v>
      </c>
      <c r="Y39" s="12">
        <v>9190</v>
      </c>
      <c r="Z39" s="12">
        <v>620</v>
      </c>
      <c r="AA39" s="15">
        <v>7.8E-2</v>
      </c>
      <c r="AH39" s="41"/>
      <c r="AI39" s="41"/>
      <c r="AJ39" s="41"/>
    </row>
    <row r="40" spans="1:39" s="19" customFormat="1" x14ac:dyDescent="0.25">
      <c r="A40" s="40" t="s">
        <v>37</v>
      </c>
      <c r="B40" s="13">
        <v>5</v>
      </c>
      <c r="C40" s="12" t="s">
        <v>124</v>
      </c>
      <c r="D40" s="29">
        <v>44515</v>
      </c>
      <c r="E40" s="12">
        <v>260000</v>
      </c>
      <c r="F40" s="12">
        <v>20000</v>
      </c>
      <c r="G40" s="12">
        <v>210</v>
      </c>
      <c r="H40" s="12">
        <v>510</v>
      </c>
      <c r="I40" s="12">
        <v>200</v>
      </c>
      <c r="J40" s="12">
        <v>4100</v>
      </c>
      <c r="K40" s="12">
        <v>60</v>
      </c>
      <c r="L40" s="12">
        <v>100</v>
      </c>
      <c r="M40" s="12">
        <v>271</v>
      </c>
      <c r="N40" s="12">
        <v>18</v>
      </c>
      <c r="O40" s="15">
        <v>4.7</v>
      </c>
      <c r="P40" s="12">
        <v>93</v>
      </c>
      <c r="Q40" s="12">
        <v>16</v>
      </c>
      <c r="R40" s="12">
        <v>27</v>
      </c>
      <c r="S40" s="27">
        <v>477000</v>
      </c>
      <c r="T40" s="12">
        <v>34000</v>
      </c>
      <c r="U40" s="15">
        <v>0.27</v>
      </c>
      <c r="V40" s="12">
        <v>739</v>
      </c>
      <c r="W40" s="12">
        <v>37</v>
      </c>
      <c r="X40" s="49">
        <v>5.7000000000000002E-2</v>
      </c>
      <c r="Y40" s="12">
        <v>8700</v>
      </c>
      <c r="Z40" s="12">
        <v>520</v>
      </c>
      <c r="AA40" s="15">
        <v>0.23</v>
      </c>
      <c r="AH40" s="41"/>
      <c r="AI40" s="41"/>
      <c r="AJ40" s="41"/>
    </row>
    <row r="41" spans="1:39" s="19" customFormat="1" x14ac:dyDescent="0.25">
      <c r="A41" s="40" t="s">
        <v>37</v>
      </c>
      <c r="B41" s="13">
        <v>6</v>
      </c>
      <c r="C41" s="12" t="s">
        <v>101</v>
      </c>
      <c r="D41" s="29">
        <v>44515</v>
      </c>
      <c r="E41" s="12">
        <v>272000</v>
      </c>
      <c r="F41" s="12">
        <v>20000</v>
      </c>
      <c r="G41" s="12">
        <v>190</v>
      </c>
      <c r="H41" s="12">
        <v>590</v>
      </c>
      <c r="I41" s="12">
        <v>600</v>
      </c>
      <c r="J41" s="12">
        <v>4400</v>
      </c>
      <c r="K41" s="12">
        <v>-75</v>
      </c>
      <c r="L41" s="12">
        <v>97</v>
      </c>
      <c r="M41" s="12">
        <v>269</v>
      </c>
      <c r="N41" s="12">
        <v>23</v>
      </c>
      <c r="O41" s="15">
        <v>4.7</v>
      </c>
      <c r="P41" s="12">
        <v>105</v>
      </c>
      <c r="Q41" s="12">
        <v>16</v>
      </c>
      <c r="R41" s="12">
        <v>27</v>
      </c>
      <c r="S41" s="27">
        <v>467000</v>
      </c>
      <c r="T41" s="12">
        <v>28000</v>
      </c>
      <c r="U41" s="15">
        <v>0.63</v>
      </c>
      <c r="V41" s="12">
        <v>614</v>
      </c>
      <c r="W41" s="12">
        <v>43</v>
      </c>
      <c r="X41" s="49">
        <v>6.0999999999999999E-2</v>
      </c>
      <c r="Y41" s="12">
        <v>9110</v>
      </c>
      <c r="Z41" s="12">
        <v>530</v>
      </c>
      <c r="AA41" s="15">
        <v>0.2</v>
      </c>
      <c r="AH41" s="41"/>
      <c r="AI41" s="41"/>
      <c r="AJ41" s="41"/>
    </row>
    <row r="42" spans="1:39" s="19" customFormat="1" x14ac:dyDescent="0.25">
      <c r="A42" s="40" t="s">
        <v>37</v>
      </c>
      <c r="B42" s="13">
        <v>7</v>
      </c>
      <c r="C42" s="12" t="s">
        <v>102</v>
      </c>
      <c r="D42" s="29">
        <v>44515</v>
      </c>
      <c r="E42" s="12">
        <v>266000</v>
      </c>
      <c r="F42" s="12">
        <v>19000</v>
      </c>
      <c r="G42" s="12">
        <v>110</v>
      </c>
      <c r="H42" s="12">
        <v>510</v>
      </c>
      <c r="I42" s="12">
        <v>-4400</v>
      </c>
      <c r="J42" s="12">
        <v>4000</v>
      </c>
      <c r="K42" s="12">
        <v>-45</v>
      </c>
      <c r="L42" s="12">
        <v>89</v>
      </c>
      <c r="M42" s="12">
        <v>247</v>
      </c>
      <c r="N42" s="12">
        <v>17</v>
      </c>
      <c r="O42" s="15">
        <v>4</v>
      </c>
      <c r="P42" s="12">
        <v>128</v>
      </c>
      <c r="Q42" s="12">
        <v>17</v>
      </c>
      <c r="R42" s="12">
        <v>25</v>
      </c>
      <c r="S42" s="27">
        <v>453000</v>
      </c>
      <c r="T42" s="12">
        <v>27000</v>
      </c>
      <c r="U42" s="15">
        <v>0.78</v>
      </c>
      <c r="V42" s="12">
        <v>676</v>
      </c>
      <c r="W42" s="12">
        <v>40</v>
      </c>
      <c r="X42" s="49">
        <v>6.6000000000000003E-2</v>
      </c>
      <c r="Y42" s="12">
        <v>8820</v>
      </c>
      <c r="Z42" s="12">
        <v>540</v>
      </c>
      <c r="AA42" s="15">
        <v>0.14000000000000001</v>
      </c>
      <c r="AH42" s="41"/>
      <c r="AI42" s="41"/>
      <c r="AJ42" s="41"/>
    </row>
    <row r="43" spans="1:39" s="19" customFormat="1" x14ac:dyDescent="0.25">
      <c r="A43" s="40" t="s">
        <v>37</v>
      </c>
      <c r="B43" s="13">
        <v>8</v>
      </c>
      <c r="C43" s="12" t="s">
        <v>103</v>
      </c>
      <c r="D43" s="29">
        <v>44515</v>
      </c>
      <c r="E43" s="12">
        <v>310000</v>
      </c>
      <c r="F43" s="12">
        <v>22000</v>
      </c>
      <c r="G43" s="12">
        <v>-110</v>
      </c>
      <c r="H43" s="12">
        <v>490</v>
      </c>
      <c r="I43" s="12">
        <v>-5000</v>
      </c>
      <c r="J43" s="12">
        <v>3900</v>
      </c>
      <c r="K43" s="12">
        <v>-55</v>
      </c>
      <c r="L43" s="12">
        <v>96</v>
      </c>
      <c r="M43" s="12">
        <v>236</v>
      </c>
      <c r="N43" s="12">
        <v>18</v>
      </c>
      <c r="O43" s="15">
        <v>4.0999999999999996</v>
      </c>
      <c r="P43" s="12">
        <v>125</v>
      </c>
      <c r="Q43" s="12">
        <v>17</v>
      </c>
      <c r="R43" s="12">
        <v>20</v>
      </c>
      <c r="S43" s="27">
        <v>461000</v>
      </c>
      <c r="T43" s="12">
        <v>29000</v>
      </c>
      <c r="U43" s="15">
        <v>0.4</v>
      </c>
      <c r="V43" s="12">
        <v>402</v>
      </c>
      <c r="W43" s="12">
        <v>32</v>
      </c>
      <c r="X43" s="49">
        <v>7.0000000000000007E-2</v>
      </c>
      <c r="Y43" s="12">
        <v>8250</v>
      </c>
      <c r="Z43" s="12">
        <v>580</v>
      </c>
      <c r="AA43" s="15">
        <v>0.09</v>
      </c>
      <c r="AH43" s="41"/>
      <c r="AI43" s="41"/>
      <c r="AJ43" s="41"/>
    </row>
    <row r="44" spans="1:39" s="19" customFormat="1" x14ac:dyDescent="0.25">
      <c r="A44" s="40" t="s">
        <v>37</v>
      </c>
      <c r="B44" s="13">
        <v>9</v>
      </c>
      <c r="C44" s="12" t="s">
        <v>125</v>
      </c>
      <c r="D44" s="29">
        <v>44515</v>
      </c>
      <c r="E44" s="12">
        <v>294000</v>
      </c>
      <c r="F44" s="12">
        <v>21000</v>
      </c>
      <c r="G44" s="12">
        <v>-230</v>
      </c>
      <c r="H44" s="12">
        <v>530</v>
      </c>
      <c r="I44" s="12">
        <v>400</v>
      </c>
      <c r="J44" s="12">
        <v>4500</v>
      </c>
      <c r="K44" s="12">
        <v>-13</v>
      </c>
      <c r="L44" s="12">
        <v>88</v>
      </c>
      <c r="M44" s="12">
        <v>304</v>
      </c>
      <c r="N44" s="12">
        <v>23</v>
      </c>
      <c r="O44" s="15">
        <v>4</v>
      </c>
      <c r="P44" s="12">
        <v>127</v>
      </c>
      <c r="Q44" s="12">
        <v>17</v>
      </c>
      <c r="R44" s="12">
        <v>24</v>
      </c>
      <c r="S44" s="27">
        <v>473000</v>
      </c>
      <c r="T44" s="12">
        <v>35000</v>
      </c>
      <c r="U44" s="15">
        <v>0.61</v>
      </c>
      <c r="V44" s="12">
        <v>877</v>
      </c>
      <c r="W44" s="12">
        <v>61</v>
      </c>
      <c r="X44" s="49">
        <v>6.3E-2</v>
      </c>
      <c r="Y44" s="12">
        <v>8800</v>
      </c>
      <c r="Z44" s="12">
        <v>620</v>
      </c>
      <c r="AA44" s="15">
        <v>0.13</v>
      </c>
      <c r="AH44" s="41"/>
      <c r="AI44" s="41"/>
      <c r="AJ44" s="41"/>
    </row>
    <row r="45" spans="1:39" s="19" customFormat="1" x14ac:dyDescent="0.25">
      <c r="A45" s="40" t="s">
        <v>37</v>
      </c>
      <c r="B45" s="13">
        <v>10</v>
      </c>
      <c r="C45" s="12" t="s">
        <v>104</v>
      </c>
      <c r="D45" s="29">
        <v>44515</v>
      </c>
      <c r="E45" s="12">
        <v>292000</v>
      </c>
      <c r="F45" s="12">
        <v>21000</v>
      </c>
      <c r="G45" s="12">
        <v>0</v>
      </c>
      <c r="H45" s="12">
        <v>570</v>
      </c>
      <c r="I45" s="12">
        <v>-2300</v>
      </c>
      <c r="J45" s="12">
        <v>4000</v>
      </c>
      <c r="K45" s="12">
        <v>96</v>
      </c>
      <c r="L45" s="12">
        <v>94</v>
      </c>
      <c r="M45" s="12">
        <v>286</v>
      </c>
      <c r="N45" s="12">
        <v>19</v>
      </c>
      <c r="O45" s="15">
        <v>4.4000000000000004</v>
      </c>
      <c r="P45" s="12">
        <v>113</v>
      </c>
      <c r="Q45" s="12">
        <v>16</v>
      </c>
      <c r="R45" s="12">
        <v>23</v>
      </c>
      <c r="S45" s="27">
        <v>462000</v>
      </c>
      <c r="T45" s="12">
        <v>31000</v>
      </c>
      <c r="U45" s="15">
        <v>0.65</v>
      </c>
      <c r="V45" s="12">
        <v>837</v>
      </c>
      <c r="W45" s="12">
        <v>43</v>
      </c>
      <c r="X45" s="49">
        <v>4.8000000000000001E-2</v>
      </c>
      <c r="Y45" s="12">
        <v>8610</v>
      </c>
      <c r="Z45" s="12">
        <v>560</v>
      </c>
      <c r="AA45" s="15">
        <v>0.16</v>
      </c>
      <c r="AH45" s="41"/>
      <c r="AI45" s="41"/>
      <c r="AJ45" s="41"/>
    </row>
    <row r="46" spans="1:39" s="19" customFormat="1" x14ac:dyDescent="0.25">
      <c r="A46" s="40" t="s">
        <v>37</v>
      </c>
      <c r="B46" s="13">
        <v>11</v>
      </c>
      <c r="C46" s="12"/>
      <c r="D46" s="29"/>
      <c r="E46" s="12"/>
      <c r="F46" s="12"/>
      <c r="G46" s="12"/>
      <c r="H46" s="12"/>
      <c r="I46" s="12"/>
      <c r="J46" s="12"/>
      <c r="K46" s="12"/>
      <c r="L46" s="12"/>
      <c r="M46" s="12">
        <v>411</v>
      </c>
      <c r="N46" s="12">
        <v>79</v>
      </c>
      <c r="O46" s="15">
        <v>6.1</v>
      </c>
      <c r="P46" s="12">
        <v>253</v>
      </c>
      <c r="Q46" s="12">
        <v>78</v>
      </c>
      <c r="R46" s="12">
        <v>74</v>
      </c>
      <c r="S46" s="27">
        <v>860000</v>
      </c>
      <c r="T46" s="12">
        <v>180000</v>
      </c>
      <c r="U46" s="15">
        <v>0.76</v>
      </c>
      <c r="V46" s="12">
        <v>535</v>
      </c>
      <c r="W46" s="12">
        <v>98</v>
      </c>
      <c r="X46" s="49">
        <v>0.25</v>
      </c>
      <c r="Y46" s="12">
        <v>17500</v>
      </c>
      <c r="Z46" s="12">
        <v>2100</v>
      </c>
      <c r="AA46" s="15">
        <v>1.1000000000000001</v>
      </c>
      <c r="AH46" s="41"/>
      <c r="AI46" s="41"/>
      <c r="AJ46" s="41"/>
    </row>
    <row r="47" spans="1:39" s="19" customFormat="1" x14ac:dyDescent="0.25">
      <c r="A47" s="40" t="s">
        <v>37</v>
      </c>
      <c r="B47" s="13">
        <v>12</v>
      </c>
      <c r="C47" s="12"/>
      <c r="D47" s="29"/>
      <c r="E47" s="12"/>
      <c r="F47" s="12"/>
      <c r="G47" s="12"/>
      <c r="H47" s="12"/>
      <c r="I47" s="12"/>
      <c r="J47" s="12"/>
      <c r="K47" s="12"/>
      <c r="L47" s="12"/>
      <c r="M47" s="12">
        <v>266</v>
      </c>
      <c r="N47" s="12">
        <v>59</v>
      </c>
      <c r="O47" s="15">
        <v>6.1</v>
      </c>
      <c r="P47" s="12">
        <v>142</v>
      </c>
      <c r="Q47" s="12">
        <v>36</v>
      </c>
      <c r="R47" s="12">
        <v>61</v>
      </c>
      <c r="S47" s="27">
        <v>555000</v>
      </c>
      <c r="T47" s="12">
        <v>95000</v>
      </c>
      <c r="U47" s="15">
        <v>1.9</v>
      </c>
      <c r="V47" s="12">
        <v>465</v>
      </c>
      <c r="W47" s="12">
        <v>66</v>
      </c>
      <c r="X47" s="49">
        <v>0.21</v>
      </c>
      <c r="Y47" s="12">
        <v>16000</v>
      </c>
      <c r="Z47" s="12">
        <v>2100</v>
      </c>
      <c r="AA47" s="15">
        <v>0.78</v>
      </c>
      <c r="AH47" s="41"/>
      <c r="AI47" s="41"/>
      <c r="AJ47" s="41"/>
    </row>
    <row r="48" spans="1:39" s="19" customFormat="1" x14ac:dyDescent="0.25">
      <c r="A48" s="40" t="s">
        <v>37</v>
      </c>
      <c r="B48" s="13">
        <v>13</v>
      </c>
      <c r="C48" s="12"/>
      <c r="D48" s="29"/>
      <c r="E48" s="12"/>
      <c r="F48" s="12"/>
      <c r="G48" s="12"/>
      <c r="H48" s="12"/>
      <c r="I48" s="12"/>
      <c r="J48" s="12"/>
      <c r="K48" s="12"/>
      <c r="L48" s="12"/>
      <c r="M48" s="12">
        <v>232</v>
      </c>
      <c r="N48" s="12">
        <v>30</v>
      </c>
      <c r="O48" s="15">
        <v>7.2</v>
      </c>
      <c r="P48" s="12">
        <v>311</v>
      </c>
      <c r="Q48" s="12">
        <v>67</v>
      </c>
      <c r="R48" s="12">
        <v>65</v>
      </c>
      <c r="S48" s="27">
        <v>345000</v>
      </c>
      <c r="T48" s="12">
        <v>57000</v>
      </c>
      <c r="U48" s="15"/>
      <c r="V48" s="12">
        <v>630</v>
      </c>
      <c r="W48" s="12">
        <v>110</v>
      </c>
      <c r="X48" s="49">
        <v>0.25</v>
      </c>
      <c r="Y48" s="12">
        <v>8400</v>
      </c>
      <c r="Z48" s="12">
        <v>1400</v>
      </c>
      <c r="AA48" s="15">
        <v>0.85</v>
      </c>
      <c r="AH48" s="41"/>
      <c r="AI48" s="41"/>
      <c r="AJ48" s="41"/>
    </row>
    <row r="49" spans="1:36" s="19" customFormat="1" x14ac:dyDescent="0.25">
      <c r="A49" s="40" t="s">
        <v>37</v>
      </c>
      <c r="B49" s="13">
        <v>14</v>
      </c>
      <c r="C49" s="12"/>
      <c r="D49" s="29"/>
      <c r="E49" s="12"/>
      <c r="F49" s="12"/>
      <c r="G49" s="12"/>
      <c r="H49" s="12"/>
      <c r="I49" s="12"/>
      <c r="J49" s="12"/>
      <c r="K49" s="12"/>
      <c r="L49" s="12"/>
      <c r="M49" s="12">
        <v>301</v>
      </c>
      <c r="N49" s="12">
        <v>53</v>
      </c>
      <c r="O49" s="15">
        <v>7.1</v>
      </c>
      <c r="P49" s="12">
        <v>239</v>
      </c>
      <c r="Q49" s="12">
        <v>58</v>
      </c>
      <c r="R49" s="12">
        <v>67</v>
      </c>
      <c r="S49" s="27">
        <v>442000</v>
      </c>
      <c r="T49" s="12">
        <v>71000</v>
      </c>
      <c r="U49" s="15">
        <v>2.1</v>
      </c>
      <c r="V49" s="12">
        <v>990</v>
      </c>
      <c r="W49" s="12">
        <v>160</v>
      </c>
      <c r="X49" s="49">
        <v>0.2</v>
      </c>
      <c r="Y49" s="12">
        <v>9800</v>
      </c>
      <c r="Z49" s="12">
        <v>1400</v>
      </c>
      <c r="AA49" s="15">
        <v>0.89</v>
      </c>
      <c r="AH49" s="41"/>
      <c r="AI49" s="41"/>
      <c r="AJ49" s="41"/>
    </row>
    <row r="50" spans="1:36" s="19" customFormat="1" x14ac:dyDescent="0.25">
      <c r="A50" s="40" t="s">
        <v>37</v>
      </c>
      <c r="B50" s="13">
        <v>15</v>
      </c>
      <c r="C50" s="12"/>
      <c r="D50" s="29"/>
      <c r="E50" s="12"/>
      <c r="F50" s="12"/>
      <c r="G50" s="12"/>
      <c r="H50" s="12"/>
      <c r="I50" s="12"/>
      <c r="J50" s="12"/>
      <c r="K50" s="12"/>
      <c r="L50" s="12"/>
      <c r="M50" s="12">
        <v>233</v>
      </c>
      <c r="N50" s="12">
        <v>41</v>
      </c>
      <c r="O50" s="15">
        <v>8.6999999999999993</v>
      </c>
      <c r="P50" s="12">
        <v>260</v>
      </c>
      <c r="Q50" s="12">
        <v>95</v>
      </c>
      <c r="R50" s="12">
        <v>83</v>
      </c>
      <c r="S50" s="27">
        <v>342000</v>
      </c>
      <c r="T50" s="12">
        <v>55000</v>
      </c>
      <c r="U50" s="15">
        <v>0.99</v>
      </c>
      <c r="V50" s="12">
        <v>670</v>
      </c>
      <c r="W50" s="12">
        <v>130</v>
      </c>
      <c r="X50" s="49">
        <v>0.28999999999999998</v>
      </c>
      <c r="Y50" s="12">
        <v>8100</v>
      </c>
      <c r="Z50" s="12">
        <v>1400</v>
      </c>
      <c r="AA50" s="15">
        <v>0.91</v>
      </c>
      <c r="AH50" s="41"/>
      <c r="AI50" s="41"/>
      <c r="AJ50" s="41"/>
    </row>
    <row r="51" spans="1:36" x14ac:dyDescent="0.25">
      <c r="A51" s="2" t="s">
        <v>38</v>
      </c>
      <c r="B51" s="16">
        <v>1</v>
      </c>
      <c r="C51" s="2" t="s">
        <v>131</v>
      </c>
      <c r="D51" s="30">
        <v>44515</v>
      </c>
      <c r="E51" s="2">
        <v>412000</v>
      </c>
      <c r="F51" s="2">
        <v>84000</v>
      </c>
      <c r="G51" s="2">
        <v>200</v>
      </c>
      <c r="H51" s="2">
        <v>1700</v>
      </c>
      <c r="I51" s="2">
        <v>10000</v>
      </c>
      <c r="J51" s="2">
        <v>13000</v>
      </c>
      <c r="K51" s="2">
        <v>-300</v>
      </c>
      <c r="L51" s="2">
        <v>1100</v>
      </c>
      <c r="M51" s="2">
        <v>350</v>
      </c>
      <c r="N51" s="2">
        <v>110</v>
      </c>
      <c r="O51" s="18">
        <v>7.7</v>
      </c>
      <c r="P51" s="2">
        <v>280</v>
      </c>
      <c r="Q51" s="2">
        <v>130</v>
      </c>
      <c r="R51" s="2">
        <v>41</v>
      </c>
      <c r="S51" s="31">
        <v>620000</v>
      </c>
      <c r="T51" s="2">
        <v>250000</v>
      </c>
      <c r="U51" s="18">
        <v>1.1000000000000001</v>
      </c>
      <c r="V51" s="2">
        <v>1270</v>
      </c>
      <c r="W51" s="2">
        <v>530</v>
      </c>
      <c r="X51" s="48">
        <v>0.11</v>
      </c>
      <c r="Y51" s="2">
        <v>12300</v>
      </c>
      <c r="Z51" s="2">
        <v>6900</v>
      </c>
      <c r="AA51" s="18">
        <v>0.28000000000000003</v>
      </c>
    </row>
    <row r="52" spans="1:36" x14ac:dyDescent="0.25">
      <c r="A52" s="2" t="s">
        <v>38</v>
      </c>
      <c r="B52" s="16">
        <v>2</v>
      </c>
      <c r="C52" s="2" t="s">
        <v>132</v>
      </c>
      <c r="D52" s="30">
        <v>44515</v>
      </c>
      <c r="E52" s="2">
        <v>458000</v>
      </c>
      <c r="F52" s="2">
        <v>62000</v>
      </c>
      <c r="G52" s="2">
        <v>-300</v>
      </c>
      <c r="H52" s="2">
        <v>1800</v>
      </c>
      <c r="I52" s="2">
        <v>30000</v>
      </c>
      <c r="J52" s="2">
        <v>11000</v>
      </c>
      <c r="K52" s="2">
        <v>60</v>
      </c>
      <c r="L52" s="2">
        <v>270</v>
      </c>
      <c r="M52" s="2">
        <v>324</v>
      </c>
      <c r="N52" s="2">
        <v>71</v>
      </c>
      <c r="O52" s="18">
        <v>4.9000000000000004</v>
      </c>
      <c r="P52" s="2">
        <v>270</v>
      </c>
      <c r="Q52" s="2">
        <v>55</v>
      </c>
      <c r="R52" s="2">
        <v>28</v>
      </c>
      <c r="S52" s="31">
        <v>800000</v>
      </c>
      <c r="T52" s="2">
        <v>200000</v>
      </c>
      <c r="U52" s="18">
        <v>0.69</v>
      </c>
      <c r="V52" s="2">
        <v>1360</v>
      </c>
      <c r="W52" s="2">
        <v>310</v>
      </c>
      <c r="X52" s="48">
        <v>7.6999999999999999E-2</v>
      </c>
      <c r="Y52" s="2">
        <v>13000</v>
      </c>
      <c r="Z52" s="2">
        <v>2400</v>
      </c>
      <c r="AA52" s="18">
        <v>0.17</v>
      </c>
    </row>
    <row r="53" spans="1:36" x14ac:dyDescent="0.25">
      <c r="A53" s="2" t="s">
        <v>38</v>
      </c>
      <c r="B53" s="16">
        <v>3</v>
      </c>
      <c r="C53" s="2" t="s">
        <v>133</v>
      </c>
      <c r="D53" s="30">
        <v>44515</v>
      </c>
      <c r="E53" s="2">
        <v>458000</v>
      </c>
      <c r="F53" s="2">
        <v>61000</v>
      </c>
      <c r="G53" s="2">
        <v>-1100</v>
      </c>
      <c r="H53" s="2">
        <v>1400</v>
      </c>
      <c r="I53" s="2">
        <v>-40000</v>
      </c>
      <c r="J53" s="2">
        <v>10000</v>
      </c>
      <c r="K53" s="2">
        <v>290</v>
      </c>
      <c r="L53" s="2">
        <v>400</v>
      </c>
      <c r="M53" s="2">
        <v>406</v>
      </c>
      <c r="N53" s="2">
        <v>89</v>
      </c>
      <c r="O53" s="18">
        <v>5.6</v>
      </c>
      <c r="P53" s="2">
        <v>223</v>
      </c>
      <c r="Q53" s="2">
        <v>36</v>
      </c>
      <c r="R53" s="2">
        <v>30</v>
      </c>
      <c r="S53" s="31">
        <v>860000</v>
      </c>
      <c r="T53" s="2">
        <v>240000</v>
      </c>
      <c r="U53" s="18">
        <v>1.1000000000000001</v>
      </c>
      <c r="V53" s="2">
        <v>1740</v>
      </c>
      <c r="W53" s="2">
        <v>380</v>
      </c>
      <c r="X53" s="48">
        <v>7.5999999999999998E-2</v>
      </c>
      <c r="Y53" s="2">
        <v>14900</v>
      </c>
      <c r="Z53" s="2">
        <v>3800</v>
      </c>
      <c r="AA53" s="18">
        <v>0.21</v>
      </c>
    </row>
    <row r="54" spans="1:36" x14ac:dyDescent="0.25">
      <c r="A54" s="2" t="s">
        <v>38</v>
      </c>
      <c r="B54" s="16">
        <v>5</v>
      </c>
      <c r="C54" s="2" t="s">
        <v>135</v>
      </c>
      <c r="D54" s="30">
        <v>44515</v>
      </c>
      <c r="E54" s="2">
        <v>302000</v>
      </c>
      <c r="F54" s="2">
        <v>19000</v>
      </c>
      <c r="G54" s="2">
        <v>-250</v>
      </c>
      <c r="H54" s="2">
        <v>520</v>
      </c>
      <c r="I54" s="2">
        <v>1200</v>
      </c>
      <c r="J54" s="2">
        <v>3700</v>
      </c>
      <c r="K54" s="2">
        <v>47</v>
      </c>
      <c r="L54" s="2">
        <v>96</v>
      </c>
      <c r="M54" s="2">
        <v>232</v>
      </c>
      <c r="N54" s="2">
        <v>19</v>
      </c>
      <c r="O54" s="18">
        <v>4</v>
      </c>
      <c r="P54" s="2">
        <v>216</v>
      </c>
      <c r="Q54" s="2">
        <v>18</v>
      </c>
      <c r="R54" s="2">
        <v>19</v>
      </c>
      <c r="S54" s="31">
        <v>520000</v>
      </c>
      <c r="T54" s="2">
        <v>36000</v>
      </c>
      <c r="U54" s="18">
        <v>0.72</v>
      </c>
      <c r="V54" s="2">
        <v>777</v>
      </c>
      <c r="W54" s="2">
        <v>66</v>
      </c>
      <c r="X54" s="48">
        <v>4.2999999999999997E-2</v>
      </c>
      <c r="Y54" s="2">
        <v>9920</v>
      </c>
      <c r="Z54" s="2">
        <v>780</v>
      </c>
      <c r="AA54" s="18">
        <v>9.0999999999999998E-2</v>
      </c>
    </row>
    <row r="55" spans="1:36" x14ac:dyDescent="0.25">
      <c r="A55" s="2" t="s">
        <v>38</v>
      </c>
      <c r="B55" s="16">
        <v>6</v>
      </c>
      <c r="C55" s="2" t="s">
        <v>136</v>
      </c>
      <c r="D55" s="30">
        <v>44515</v>
      </c>
      <c r="E55" s="2">
        <v>409000</v>
      </c>
      <c r="F55" s="2">
        <v>37000</v>
      </c>
      <c r="G55" s="2">
        <v>1000</v>
      </c>
      <c r="H55" s="2">
        <v>1200</v>
      </c>
      <c r="I55" s="2">
        <v>-4600</v>
      </c>
      <c r="J55" s="2">
        <v>6400</v>
      </c>
      <c r="K55" s="2">
        <v>150</v>
      </c>
      <c r="L55" s="2">
        <v>250</v>
      </c>
      <c r="M55" s="2">
        <v>292</v>
      </c>
      <c r="N55" s="2">
        <v>33</v>
      </c>
      <c r="O55" s="18">
        <v>4.9000000000000004</v>
      </c>
      <c r="P55" s="2">
        <v>237</v>
      </c>
      <c r="Q55" s="2">
        <v>35</v>
      </c>
      <c r="R55" s="2">
        <v>28</v>
      </c>
      <c r="S55" s="31">
        <v>700000</v>
      </c>
      <c r="T55" s="2">
        <v>110000</v>
      </c>
      <c r="U55" s="18">
        <v>0.82</v>
      </c>
      <c r="V55" s="2">
        <v>1910</v>
      </c>
      <c r="W55" s="2">
        <v>250</v>
      </c>
      <c r="X55" s="48">
        <v>7.5999999999999998E-2</v>
      </c>
      <c r="Y55" s="2">
        <v>12900</v>
      </c>
      <c r="Z55" s="2">
        <v>1600</v>
      </c>
      <c r="AA55" s="18">
        <v>0.14000000000000001</v>
      </c>
    </row>
    <row r="56" spans="1:36" x14ac:dyDescent="0.25">
      <c r="A56" s="2" t="s">
        <v>38</v>
      </c>
      <c r="B56" s="16">
        <v>7</v>
      </c>
      <c r="C56" s="2" t="s">
        <v>107</v>
      </c>
      <c r="D56" s="30">
        <v>44515</v>
      </c>
      <c r="E56" s="2">
        <v>426000</v>
      </c>
      <c r="F56" s="2">
        <v>44000</v>
      </c>
      <c r="G56" s="2">
        <v>-200</v>
      </c>
      <c r="H56" s="2">
        <v>1500</v>
      </c>
      <c r="I56" s="2">
        <v>-4200</v>
      </c>
      <c r="J56" s="2">
        <v>5900</v>
      </c>
      <c r="K56" s="2">
        <v>-160</v>
      </c>
      <c r="L56" s="2">
        <v>210</v>
      </c>
      <c r="M56" s="2">
        <v>403</v>
      </c>
      <c r="N56" s="2">
        <v>95</v>
      </c>
      <c r="O56" s="18">
        <v>6</v>
      </c>
      <c r="P56" s="2">
        <v>240</v>
      </c>
      <c r="Q56" s="2">
        <v>67</v>
      </c>
      <c r="R56" s="2">
        <v>30</v>
      </c>
      <c r="S56" s="31">
        <v>830000</v>
      </c>
      <c r="T56" s="2">
        <v>160000</v>
      </c>
      <c r="U56" s="18">
        <v>1</v>
      </c>
      <c r="V56" s="2">
        <v>1360</v>
      </c>
      <c r="W56" s="2">
        <v>330</v>
      </c>
      <c r="X56" s="48">
        <v>3.2000000000000001E-2</v>
      </c>
      <c r="Y56" s="2">
        <v>13400</v>
      </c>
      <c r="Z56" s="2">
        <v>3200</v>
      </c>
      <c r="AA56" s="18">
        <v>0.19</v>
      </c>
    </row>
    <row r="57" spans="1:36" x14ac:dyDescent="0.25">
      <c r="A57" s="2" t="s">
        <v>38</v>
      </c>
      <c r="B57" s="16">
        <v>8</v>
      </c>
      <c r="C57" s="2" t="s">
        <v>108</v>
      </c>
      <c r="D57" s="30">
        <v>44515</v>
      </c>
      <c r="E57" s="2">
        <v>460000</v>
      </c>
      <c r="F57" s="2">
        <v>84000</v>
      </c>
      <c r="G57" s="2">
        <v>-1000</v>
      </c>
      <c r="H57" s="2">
        <v>2700</v>
      </c>
      <c r="I57" s="2">
        <v>19000</v>
      </c>
      <c r="J57" s="2">
        <v>22000</v>
      </c>
      <c r="K57" s="2">
        <v>20</v>
      </c>
      <c r="L57" s="2">
        <v>250</v>
      </c>
      <c r="M57" s="2">
        <v>278</v>
      </c>
      <c r="N57" s="2">
        <v>77</v>
      </c>
      <c r="O57" s="18">
        <v>6.2</v>
      </c>
      <c r="P57" s="2">
        <v>267</v>
      </c>
      <c r="Q57" s="2">
        <v>59</v>
      </c>
      <c r="R57" s="2">
        <v>31</v>
      </c>
      <c r="S57" s="31">
        <v>640000</v>
      </c>
      <c r="T57" s="2">
        <v>350000</v>
      </c>
      <c r="U57" s="18">
        <v>1</v>
      </c>
      <c r="V57" s="2">
        <v>1740</v>
      </c>
      <c r="W57" s="2">
        <v>780</v>
      </c>
      <c r="X57" s="48">
        <v>5.0999999999999997E-2</v>
      </c>
      <c r="Y57" s="2">
        <v>14300</v>
      </c>
      <c r="Z57" s="2">
        <v>5900</v>
      </c>
      <c r="AA57" s="18">
        <v>0.22</v>
      </c>
    </row>
    <row r="58" spans="1:36" x14ac:dyDescent="0.25">
      <c r="A58" s="2" t="s">
        <v>38</v>
      </c>
      <c r="B58" s="16">
        <v>9</v>
      </c>
      <c r="C58" s="2" t="s">
        <v>109</v>
      </c>
      <c r="D58" s="30">
        <v>44515</v>
      </c>
      <c r="E58" s="2">
        <v>366000</v>
      </c>
      <c r="F58" s="2">
        <v>38000</v>
      </c>
      <c r="G58" s="2">
        <v>200</v>
      </c>
      <c r="H58" s="2">
        <v>1600</v>
      </c>
      <c r="I58" s="2">
        <v>2800</v>
      </c>
      <c r="J58" s="2">
        <v>8800</v>
      </c>
      <c r="K58" s="2">
        <v>50</v>
      </c>
      <c r="L58" s="2">
        <v>210</v>
      </c>
      <c r="M58" s="2">
        <v>365</v>
      </c>
      <c r="N58" s="2">
        <v>53</v>
      </c>
      <c r="O58" s="18">
        <v>6.1</v>
      </c>
      <c r="P58" s="2">
        <v>302</v>
      </c>
      <c r="Q58" s="2">
        <v>62</v>
      </c>
      <c r="R58" s="2">
        <v>29</v>
      </c>
      <c r="S58" s="31">
        <v>850000</v>
      </c>
      <c r="T58" s="2">
        <v>120000</v>
      </c>
      <c r="U58" s="18">
        <v>1</v>
      </c>
      <c r="V58" s="2">
        <v>1420</v>
      </c>
      <c r="W58" s="2">
        <v>250</v>
      </c>
      <c r="X58" s="48">
        <v>7.3999999999999996E-2</v>
      </c>
      <c r="Y58" s="2">
        <v>14500</v>
      </c>
      <c r="Z58" s="2">
        <v>2200</v>
      </c>
      <c r="AA58" s="18">
        <v>0.26</v>
      </c>
    </row>
    <row r="59" spans="1:36" x14ac:dyDescent="0.25">
      <c r="A59" s="2" t="s">
        <v>38</v>
      </c>
      <c r="B59" s="16">
        <v>10</v>
      </c>
      <c r="C59" s="2"/>
      <c r="D59" s="30"/>
      <c r="E59" s="2"/>
      <c r="F59" s="2"/>
      <c r="G59" s="2"/>
      <c r="H59" s="2"/>
      <c r="I59" s="2"/>
      <c r="J59" s="2"/>
      <c r="K59" s="2"/>
      <c r="L59" s="2"/>
      <c r="M59" s="2">
        <v>258</v>
      </c>
      <c r="N59" s="2">
        <v>49</v>
      </c>
      <c r="O59" s="18">
        <v>13</v>
      </c>
      <c r="P59" s="2">
        <v>377</v>
      </c>
      <c r="Q59" s="2">
        <v>73</v>
      </c>
      <c r="R59" s="2">
        <v>96</v>
      </c>
      <c r="S59" s="31">
        <v>720000</v>
      </c>
      <c r="T59" s="2">
        <v>140000</v>
      </c>
      <c r="U59" s="18">
        <v>2</v>
      </c>
      <c r="V59" s="2">
        <v>1970</v>
      </c>
      <c r="W59" s="2">
        <v>510</v>
      </c>
      <c r="X59" s="48">
        <v>0.38</v>
      </c>
      <c r="Y59" s="2">
        <v>12500</v>
      </c>
      <c r="Z59" s="2">
        <v>2000</v>
      </c>
      <c r="AA59" s="18">
        <v>1.3</v>
      </c>
    </row>
    <row r="60" spans="1:36" x14ac:dyDescent="0.25">
      <c r="A60" s="2" t="s">
        <v>38</v>
      </c>
      <c r="B60" s="16">
        <v>11</v>
      </c>
      <c r="C60" s="2"/>
      <c r="D60" s="30"/>
      <c r="E60" s="2"/>
      <c r="F60" s="2"/>
      <c r="G60" s="2"/>
      <c r="H60" s="2"/>
      <c r="I60" s="2"/>
      <c r="J60" s="2"/>
      <c r="K60" s="2"/>
      <c r="L60" s="2"/>
      <c r="M60" s="2">
        <v>320</v>
      </c>
      <c r="N60" s="2">
        <v>39</v>
      </c>
      <c r="O60" s="18">
        <v>12</v>
      </c>
      <c r="P60" s="2">
        <v>294</v>
      </c>
      <c r="Q60" s="2">
        <v>74</v>
      </c>
      <c r="R60" s="2">
        <v>86</v>
      </c>
      <c r="S60" s="31">
        <v>860000</v>
      </c>
      <c r="T60" s="2">
        <v>170000</v>
      </c>
      <c r="U60" s="18">
        <v>1.4</v>
      </c>
      <c r="V60" s="2">
        <v>3660</v>
      </c>
      <c r="W60" s="2">
        <v>410</v>
      </c>
      <c r="X60" s="48">
        <v>0.43</v>
      </c>
      <c r="Y60" s="2">
        <v>18800</v>
      </c>
      <c r="Z60" s="2">
        <v>2800</v>
      </c>
      <c r="AA60" s="18">
        <v>1.6</v>
      </c>
    </row>
    <row r="61" spans="1:36" x14ac:dyDescent="0.25">
      <c r="A61" s="2" t="s">
        <v>38</v>
      </c>
      <c r="B61" s="16">
        <v>12</v>
      </c>
      <c r="C61" s="2"/>
      <c r="D61" s="30"/>
      <c r="E61" s="2"/>
      <c r="F61" s="2"/>
      <c r="G61" s="2"/>
      <c r="H61" s="2"/>
      <c r="I61" s="2"/>
      <c r="J61" s="2"/>
      <c r="K61" s="2"/>
      <c r="L61" s="2"/>
      <c r="M61" s="2">
        <v>232</v>
      </c>
      <c r="N61" s="2">
        <v>39</v>
      </c>
      <c r="O61" s="18">
        <v>13</v>
      </c>
      <c r="P61" s="2">
        <v>464</v>
      </c>
      <c r="Q61" s="2">
        <v>62</v>
      </c>
      <c r="R61" s="2">
        <v>95</v>
      </c>
      <c r="S61" s="31">
        <v>630000</v>
      </c>
      <c r="T61" s="2">
        <v>110000</v>
      </c>
      <c r="U61" s="18">
        <v>1.4</v>
      </c>
      <c r="V61" s="2">
        <v>1960</v>
      </c>
      <c r="W61" s="2">
        <v>330</v>
      </c>
      <c r="X61" s="48">
        <v>0.55000000000000004</v>
      </c>
      <c r="Y61" s="2">
        <v>12200</v>
      </c>
      <c r="Z61" s="2">
        <v>1800</v>
      </c>
      <c r="AA61" s="18">
        <v>1.2</v>
      </c>
    </row>
    <row r="62" spans="1:36" x14ac:dyDescent="0.25">
      <c r="A62" s="2" t="s">
        <v>38</v>
      </c>
      <c r="B62" s="16">
        <v>13</v>
      </c>
      <c r="C62" s="2"/>
      <c r="D62" s="30"/>
      <c r="E62" s="2"/>
      <c r="F62" s="2"/>
      <c r="G62" s="2"/>
      <c r="H62" s="2"/>
      <c r="I62" s="2"/>
      <c r="J62" s="2"/>
      <c r="K62" s="2"/>
      <c r="L62" s="2"/>
      <c r="M62" s="2">
        <v>380</v>
      </c>
      <c r="N62" s="2">
        <v>36</v>
      </c>
      <c r="O62" s="18">
        <v>16</v>
      </c>
      <c r="P62" s="2">
        <v>323</v>
      </c>
      <c r="Q62" s="2">
        <v>73</v>
      </c>
      <c r="R62" s="2">
        <v>110</v>
      </c>
      <c r="S62" s="31">
        <v>990000</v>
      </c>
      <c r="T62" s="2">
        <v>140000</v>
      </c>
      <c r="U62" s="18">
        <v>3</v>
      </c>
      <c r="V62" s="2">
        <v>1740</v>
      </c>
      <c r="W62" s="2">
        <v>230</v>
      </c>
      <c r="X62" s="48">
        <v>0.42</v>
      </c>
      <c r="Y62" s="2">
        <v>18300</v>
      </c>
      <c r="Z62" s="2">
        <v>2600</v>
      </c>
      <c r="AA62" s="18">
        <v>1.6</v>
      </c>
    </row>
    <row r="63" spans="1:36" x14ac:dyDescent="0.25">
      <c r="A63" s="2" t="s">
        <v>38</v>
      </c>
      <c r="B63" s="16">
        <v>14</v>
      </c>
      <c r="C63" s="2"/>
      <c r="D63" s="30"/>
      <c r="E63" s="2"/>
      <c r="F63" s="2"/>
      <c r="G63" s="2"/>
      <c r="H63" s="2"/>
      <c r="I63" s="2"/>
      <c r="J63" s="2"/>
      <c r="K63" s="2"/>
      <c r="L63" s="2"/>
      <c r="M63" s="2">
        <v>358</v>
      </c>
      <c r="N63" s="2">
        <v>66</v>
      </c>
      <c r="O63" s="18">
        <v>15</v>
      </c>
      <c r="P63" s="2">
        <v>285</v>
      </c>
      <c r="Q63" s="2">
        <v>69</v>
      </c>
      <c r="R63" s="2">
        <v>89</v>
      </c>
      <c r="S63" s="31">
        <v>690000</v>
      </c>
      <c r="T63" s="2">
        <v>130000</v>
      </c>
      <c r="U63" s="18">
        <v>2</v>
      </c>
      <c r="V63" s="2">
        <v>1400</v>
      </c>
      <c r="W63" s="2">
        <v>160</v>
      </c>
      <c r="X63" s="48">
        <v>0.47</v>
      </c>
      <c r="Y63" s="2">
        <v>19900</v>
      </c>
      <c r="Z63" s="2">
        <v>2600</v>
      </c>
      <c r="AA63" s="18">
        <v>1.1000000000000001</v>
      </c>
    </row>
    <row r="64" spans="1:36" s="19" customFormat="1" x14ac:dyDescent="0.25">
      <c r="A64" s="12" t="s">
        <v>39</v>
      </c>
      <c r="B64" s="13">
        <v>1</v>
      </c>
      <c r="C64" s="12" t="s">
        <v>137</v>
      </c>
      <c r="D64" s="29">
        <v>44515</v>
      </c>
      <c r="E64" s="12">
        <v>544000</v>
      </c>
      <c r="F64" s="12">
        <v>82000</v>
      </c>
      <c r="G64" s="12">
        <v>300</v>
      </c>
      <c r="H64" s="12">
        <v>1500</v>
      </c>
      <c r="I64" s="12">
        <v>-6700</v>
      </c>
      <c r="J64" s="12">
        <v>8700</v>
      </c>
      <c r="K64" s="12">
        <v>-70</v>
      </c>
      <c r="L64" s="12">
        <v>210</v>
      </c>
      <c r="M64" s="12">
        <v>550</v>
      </c>
      <c r="N64" s="12">
        <v>110</v>
      </c>
      <c r="O64" s="15">
        <v>3.7</v>
      </c>
      <c r="P64" s="12">
        <v>82</v>
      </c>
      <c r="Q64" s="12">
        <v>31</v>
      </c>
      <c r="R64" s="12">
        <v>22</v>
      </c>
      <c r="S64" s="27">
        <v>720000</v>
      </c>
      <c r="T64" s="12">
        <v>140000</v>
      </c>
      <c r="U64" s="15">
        <v>0.83</v>
      </c>
      <c r="V64" s="12">
        <v>1620</v>
      </c>
      <c r="W64" s="12">
        <v>320</v>
      </c>
      <c r="X64" s="49">
        <v>4.8000000000000001E-2</v>
      </c>
      <c r="Y64" s="12">
        <v>14000</v>
      </c>
      <c r="Z64" s="12">
        <v>2700</v>
      </c>
      <c r="AA64" s="15">
        <v>0.19</v>
      </c>
      <c r="AH64" s="41"/>
      <c r="AI64" s="41"/>
      <c r="AJ64" s="41"/>
    </row>
    <row r="65" spans="1:36" s="19" customFormat="1" x14ac:dyDescent="0.25">
      <c r="A65" s="12" t="s">
        <v>39</v>
      </c>
      <c r="B65" s="13">
        <v>2</v>
      </c>
      <c r="C65" s="12" t="s">
        <v>138</v>
      </c>
      <c r="D65" s="29">
        <v>44515</v>
      </c>
      <c r="E65" s="12">
        <v>572000</v>
      </c>
      <c r="F65" s="12">
        <v>68000</v>
      </c>
      <c r="G65" s="12">
        <v>200</v>
      </c>
      <c r="H65" s="12">
        <v>1700</v>
      </c>
      <c r="I65" s="12">
        <v>-300</v>
      </c>
      <c r="J65" s="12">
        <v>6900</v>
      </c>
      <c r="K65" s="12">
        <v>130</v>
      </c>
      <c r="L65" s="12">
        <v>280</v>
      </c>
      <c r="M65" s="12">
        <v>510</v>
      </c>
      <c r="N65" s="12">
        <v>110</v>
      </c>
      <c r="O65" s="15">
        <v>4.5</v>
      </c>
      <c r="P65" s="12">
        <v>85</v>
      </c>
      <c r="Q65" s="12">
        <v>35</v>
      </c>
      <c r="R65" s="12">
        <v>22</v>
      </c>
      <c r="S65" s="27">
        <v>860000</v>
      </c>
      <c r="T65" s="12">
        <v>210000</v>
      </c>
      <c r="U65" s="15">
        <v>0.49</v>
      </c>
      <c r="V65" s="12">
        <v>1720</v>
      </c>
      <c r="W65" s="12">
        <v>430</v>
      </c>
      <c r="X65" s="49">
        <v>4.5999999999999999E-2</v>
      </c>
      <c r="Y65" s="12">
        <v>14100</v>
      </c>
      <c r="Z65" s="12">
        <v>2800</v>
      </c>
      <c r="AA65" s="15">
        <v>0.18</v>
      </c>
      <c r="AH65" s="41"/>
      <c r="AI65" s="41"/>
      <c r="AJ65" s="41"/>
    </row>
    <row r="66" spans="1:36" s="19" customFormat="1" x14ac:dyDescent="0.25">
      <c r="A66" s="12" t="s">
        <v>39</v>
      </c>
      <c r="B66" s="13">
        <v>3</v>
      </c>
      <c r="C66" s="12" t="s">
        <v>139</v>
      </c>
      <c r="D66" s="29">
        <v>44515</v>
      </c>
      <c r="E66" s="12">
        <v>456000</v>
      </c>
      <c r="F66" s="12">
        <v>40000</v>
      </c>
      <c r="G66" s="12">
        <v>-40</v>
      </c>
      <c r="H66" s="12">
        <v>860</v>
      </c>
      <c r="I66" s="12">
        <v>-900</v>
      </c>
      <c r="J66" s="12">
        <v>5800</v>
      </c>
      <c r="K66" s="12">
        <v>-30</v>
      </c>
      <c r="L66" s="12">
        <v>120</v>
      </c>
      <c r="M66" s="12">
        <v>477</v>
      </c>
      <c r="N66" s="12">
        <v>41</v>
      </c>
      <c r="O66" s="15">
        <v>3.5</v>
      </c>
      <c r="P66" s="12">
        <v>62</v>
      </c>
      <c r="Q66" s="12">
        <v>17</v>
      </c>
      <c r="R66" s="12">
        <v>17</v>
      </c>
      <c r="S66" s="27">
        <v>692000</v>
      </c>
      <c r="T66" s="12">
        <v>87000</v>
      </c>
      <c r="U66" s="15">
        <v>0.7</v>
      </c>
      <c r="V66" s="12">
        <v>1500</v>
      </c>
      <c r="W66" s="12">
        <v>220</v>
      </c>
      <c r="X66" s="49">
        <v>4.2000000000000003E-2</v>
      </c>
      <c r="Y66" s="12">
        <v>12700</v>
      </c>
      <c r="Z66" s="12">
        <v>1500</v>
      </c>
      <c r="AA66" s="15">
        <v>0.1</v>
      </c>
      <c r="AH66" s="41"/>
      <c r="AI66" s="41"/>
      <c r="AJ66" s="41"/>
    </row>
    <row r="67" spans="1:36" s="19" customFormat="1" x14ac:dyDescent="0.25">
      <c r="A67" s="12" t="s">
        <v>39</v>
      </c>
      <c r="B67" s="13">
        <v>1</v>
      </c>
      <c r="C67" s="12" t="s">
        <v>117</v>
      </c>
      <c r="D67" s="29">
        <v>44651</v>
      </c>
      <c r="E67" s="12">
        <v>472000</v>
      </c>
      <c r="F67" s="12">
        <v>81000</v>
      </c>
      <c r="G67" s="12">
        <v>200</v>
      </c>
      <c r="H67" s="12">
        <v>1900</v>
      </c>
      <c r="I67" s="12">
        <v>-100000</v>
      </c>
      <c r="J67" s="12">
        <v>14000</v>
      </c>
      <c r="K67" s="12">
        <v>50</v>
      </c>
      <c r="L67" s="12">
        <v>300</v>
      </c>
      <c r="M67" s="12">
        <v>700</v>
      </c>
      <c r="N67" s="12">
        <v>280</v>
      </c>
      <c r="O67" s="15">
        <v>6.4</v>
      </c>
      <c r="P67" s="12">
        <v>115</v>
      </c>
      <c r="Q67" s="12">
        <v>71</v>
      </c>
      <c r="R67" s="12">
        <v>33</v>
      </c>
      <c r="S67" s="27">
        <v>940000</v>
      </c>
      <c r="T67" s="12">
        <v>240000</v>
      </c>
      <c r="U67" s="15">
        <v>0.84</v>
      </c>
      <c r="V67" s="12">
        <v>1390</v>
      </c>
      <c r="W67" s="12">
        <v>450</v>
      </c>
      <c r="X67" s="49">
        <v>8.8999999999999996E-2</v>
      </c>
      <c r="Y67" s="12">
        <v>14700</v>
      </c>
      <c r="Z67" s="12">
        <v>4500</v>
      </c>
      <c r="AA67" s="15">
        <v>0.26</v>
      </c>
      <c r="AH67" s="41"/>
      <c r="AI67" s="41"/>
      <c r="AJ67" s="41"/>
    </row>
    <row r="68" spans="1:36" s="19" customFormat="1" x14ac:dyDescent="0.25">
      <c r="A68" s="12" t="s">
        <v>39</v>
      </c>
      <c r="B68" s="13">
        <v>3</v>
      </c>
      <c r="C68" s="12" t="s">
        <v>140</v>
      </c>
      <c r="D68" s="29">
        <v>44651</v>
      </c>
      <c r="E68" s="12">
        <v>505000</v>
      </c>
      <c r="F68" s="12">
        <v>83000</v>
      </c>
      <c r="G68" s="12">
        <v>-900</v>
      </c>
      <c r="H68" s="12">
        <v>2000</v>
      </c>
      <c r="I68" s="12">
        <v>5400</v>
      </c>
      <c r="J68" s="12">
        <v>5100</v>
      </c>
      <c r="K68" s="12">
        <v>-80</v>
      </c>
      <c r="L68" s="12">
        <v>540</v>
      </c>
      <c r="M68" s="12">
        <v>720</v>
      </c>
      <c r="N68" s="12">
        <v>250</v>
      </c>
      <c r="O68" s="15">
        <v>7.2</v>
      </c>
      <c r="P68" s="12">
        <v>96</v>
      </c>
      <c r="Q68" s="12">
        <v>48</v>
      </c>
      <c r="R68" s="12">
        <v>34</v>
      </c>
      <c r="S68" s="27">
        <v>850000</v>
      </c>
      <c r="T68" s="12">
        <v>280000</v>
      </c>
      <c r="U68" s="15">
        <v>1</v>
      </c>
      <c r="V68" s="12">
        <v>1450</v>
      </c>
      <c r="W68" s="12">
        <v>460</v>
      </c>
      <c r="X68" s="49">
        <v>0.11</v>
      </c>
      <c r="Y68" s="12">
        <v>14700</v>
      </c>
      <c r="Z68" s="12">
        <v>3900</v>
      </c>
      <c r="AA68" s="15">
        <v>0.18</v>
      </c>
      <c r="AH68" s="41"/>
      <c r="AI68" s="41"/>
      <c r="AJ68" s="41"/>
    </row>
    <row r="69" spans="1:36" s="19" customFormat="1" x14ac:dyDescent="0.25">
      <c r="A69" s="12" t="s">
        <v>39</v>
      </c>
      <c r="B69" s="13">
        <v>4</v>
      </c>
      <c r="C69" s="12" t="s">
        <v>141</v>
      </c>
      <c r="D69" s="29">
        <v>44651</v>
      </c>
      <c r="E69" s="12">
        <v>544000</v>
      </c>
      <c r="F69" s="12">
        <v>58000</v>
      </c>
      <c r="G69" s="12">
        <v>800</v>
      </c>
      <c r="H69" s="12">
        <v>2000</v>
      </c>
      <c r="I69" s="12">
        <v>0</v>
      </c>
      <c r="J69" s="12">
        <v>11000</v>
      </c>
      <c r="K69" s="12">
        <v>-200</v>
      </c>
      <c r="L69" s="12">
        <v>240</v>
      </c>
      <c r="M69" s="12">
        <v>488</v>
      </c>
      <c r="N69" s="12">
        <v>73</v>
      </c>
      <c r="O69" s="15">
        <v>6</v>
      </c>
      <c r="P69" s="12">
        <v>91</v>
      </c>
      <c r="Q69" s="12">
        <v>42</v>
      </c>
      <c r="R69" s="12">
        <v>30</v>
      </c>
      <c r="S69" s="27">
        <v>730000</v>
      </c>
      <c r="T69" s="12">
        <v>110000</v>
      </c>
      <c r="U69" s="15">
        <v>0.99</v>
      </c>
      <c r="V69" s="12">
        <v>868</v>
      </c>
      <c r="W69" s="12">
        <v>88</v>
      </c>
      <c r="X69" s="49">
        <v>7.1999999999999995E-2</v>
      </c>
      <c r="Y69" s="12">
        <v>11700</v>
      </c>
      <c r="Z69" s="12">
        <v>1700</v>
      </c>
      <c r="AA69" s="15">
        <v>0.26</v>
      </c>
      <c r="AH69" s="41"/>
      <c r="AI69" s="41"/>
      <c r="AJ69" s="41"/>
    </row>
    <row r="70" spans="1:36" s="19" customFormat="1" x14ac:dyDescent="0.25">
      <c r="A70" s="12" t="s">
        <v>39</v>
      </c>
      <c r="B70" s="13">
        <v>5</v>
      </c>
      <c r="C70" s="12" t="s">
        <v>142</v>
      </c>
      <c r="D70" s="29">
        <v>44651</v>
      </c>
      <c r="E70" s="12">
        <v>610000</v>
      </c>
      <c r="F70" s="12">
        <v>150000</v>
      </c>
      <c r="G70" s="12">
        <v>-2100</v>
      </c>
      <c r="H70" s="12">
        <v>3600</v>
      </c>
      <c r="I70" s="12">
        <v>-3000</v>
      </c>
      <c r="J70" s="12">
        <v>6900</v>
      </c>
      <c r="K70" s="12">
        <v>-160</v>
      </c>
      <c r="L70" s="12">
        <v>640</v>
      </c>
      <c r="M70" s="12">
        <v>480</v>
      </c>
      <c r="N70" s="12">
        <v>210</v>
      </c>
      <c r="O70" s="15">
        <v>6.5</v>
      </c>
      <c r="P70" s="12">
        <v>52</v>
      </c>
      <c r="Q70" s="12">
        <v>12</v>
      </c>
      <c r="R70" s="12">
        <v>32</v>
      </c>
      <c r="S70" s="27">
        <v>820000</v>
      </c>
      <c r="T70" s="12">
        <v>380000</v>
      </c>
      <c r="U70" s="15">
        <v>1.2</v>
      </c>
      <c r="V70" s="12">
        <v>1420</v>
      </c>
      <c r="W70" s="12">
        <v>770</v>
      </c>
      <c r="X70" s="49">
        <v>0.13</v>
      </c>
      <c r="Y70" s="12">
        <v>12800</v>
      </c>
      <c r="Z70" s="12">
        <v>6400</v>
      </c>
      <c r="AA70" s="15"/>
      <c r="AH70" s="41"/>
      <c r="AI70" s="41"/>
      <c r="AJ70" s="41"/>
    </row>
    <row r="71" spans="1:36" s="19" customFormat="1" x14ac:dyDescent="0.25">
      <c r="A71" s="12" t="s">
        <v>39</v>
      </c>
      <c r="B71" s="13">
        <v>6</v>
      </c>
      <c r="C71" s="12" t="s">
        <v>143</v>
      </c>
      <c r="D71" s="29">
        <v>44651</v>
      </c>
      <c r="E71" s="12">
        <v>459000</v>
      </c>
      <c r="F71" s="12">
        <v>39000</v>
      </c>
      <c r="G71" s="12">
        <v>900</v>
      </c>
      <c r="H71" s="12">
        <v>1400</v>
      </c>
      <c r="I71" s="12">
        <v>-3500</v>
      </c>
      <c r="J71" s="12">
        <v>7400</v>
      </c>
      <c r="K71" s="12">
        <v>-50</v>
      </c>
      <c r="L71" s="12">
        <v>210</v>
      </c>
      <c r="M71" s="12">
        <v>580</v>
      </c>
      <c r="N71" s="12">
        <v>77</v>
      </c>
      <c r="O71" s="15">
        <v>5.0999999999999996</v>
      </c>
      <c r="P71" s="12">
        <v>111</v>
      </c>
      <c r="Q71" s="12">
        <v>23</v>
      </c>
      <c r="R71" s="12">
        <v>26</v>
      </c>
      <c r="S71" s="27">
        <v>766000</v>
      </c>
      <c r="T71" s="12">
        <v>84000</v>
      </c>
      <c r="U71" s="15">
        <v>0.68</v>
      </c>
      <c r="V71" s="12">
        <v>1560</v>
      </c>
      <c r="W71" s="12">
        <v>230</v>
      </c>
      <c r="X71" s="49">
        <v>7.1999999999999995E-2</v>
      </c>
      <c r="Y71" s="12">
        <v>12700</v>
      </c>
      <c r="Z71" s="12">
        <v>1100</v>
      </c>
      <c r="AA71" s="15">
        <v>0.19</v>
      </c>
      <c r="AH71" s="41"/>
      <c r="AI71" s="41"/>
      <c r="AJ71" s="41"/>
    </row>
    <row r="72" spans="1:36" s="19" customFormat="1" x14ac:dyDescent="0.25">
      <c r="A72" s="12" t="s">
        <v>39</v>
      </c>
      <c r="B72" s="13">
        <v>7</v>
      </c>
      <c r="C72" s="12" t="s">
        <v>144</v>
      </c>
      <c r="D72" s="29">
        <v>44651</v>
      </c>
      <c r="E72" s="12">
        <v>549000</v>
      </c>
      <c r="F72" s="12">
        <v>66000</v>
      </c>
      <c r="G72" s="12">
        <v>600</v>
      </c>
      <c r="H72" s="12">
        <v>1900</v>
      </c>
      <c r="I72" s="12">
        <v>2500</v>
      </c>
      <c r="J72" s="12">
        <v>9300</v>
      </c>
      <c r="K72" s="12">
        <v>130</v>
      </c>
      <c r="L72" s="12">
        <v>200</v>
      </c>
      <c r="M72" s="12">
        <v>470</v>
      </c>
      <c r="N72" s="12">
        <v>89</v>
      </c>
      <c r="O72" s="15">
        <v>5.6</v>
      </c>
      <c r="P72" s="12">
        <v>104</v>
      </c>
      <c r="Q72" s="12">
        <v>22</v>
      </c>
      <c r="R72" s="12">
        <v>27</v>
      </c>
      <c r="S72" s="27">
        <v>840000</v>
      </c>
      <c r="T72" s="12">
        <v>270000</v>
      </c>
      <c r="U72" s="15">
        <v>1.3</v>
      </c>
      <c r="V72" s="12">
        <v>860</v>
      </c>
      <c r="W72" s="12">
        <v>200</v>
      </c>
      <c r="X72" s="49">
        <v>9.7000000000000003E-2</v>
      </c>
      <c r="Y72" s="12">
        <v>12700</v>
      </c>
      <c r="Z72" s="12">
        <v>1700</v>
      </c>
      <c r="AA72" s="15">
        <v>0.21</v>
      </c>
      <c r="AH72" s="41"/>
      <c r="AI72" s="41"/>
      <c r="AJ72" s="41"/>
    </row>
    <row r="73" spans="1:36" s="19" customFormat="1" x14ac:dyDescent="0.25">
      <c r="A73" s="12" t="s">
        <v>39</v>
      </c>
      <c r="B73" s="13">
        <v>8</v>
      </c>
      <c r="C73" s="12" t="s">
        <v>145</v>
      </c>
      <c r="D73" s="29">
        <v>44651</v>
      </c>
      <c r="E73" s="12">
        <v>452000</v>
      </c>
      <c r="F73" s="12">
        <v>30000</v>
      </c>
      <c r="G73" s="12">
        <v>730</v>
      </c>
      <c r="H73" s="12">
        <v>730</v>
      </c>
      <c r="I73" s="12">
        <v>-4000</v>
      </c>
      <c r="J73" s="12">
        <v>4700</v>
      </c>
      <c r="K73" s="12">
        <v>100</v>
      </c>
      <c r="L73" s="12">
        <v>160</v>
      </c>
      <c r="M73" s="12">
        <v>466</v>
      </c>
      <c r="N73" s="12">
        <v>53</v>
      </c>
      <c r="O73" s="15">
        <v>4.7</v>
      </c>
      <c r="P73" s="12">
        <v>92</v>
      </c>
      <c r="Q73" s="12">
        <v>26</v>
      </c>
      <c r="R73" s="12">
        <v>24</v>
      </c>
      <c r="S73" s="27">
        <v>693000</v>
      </c>
      <c r="T73" s="12">
        <v>64000</v>
      </c>
      <c r="U73" s="15">
        <v>0.65</v>
      </c>
      <c r="V73" s="12">
        <v>1240</v>
      </c>
      <c r="W73" s="12">
        <v>240</v>
      </c>
      <c r="X73" s="49">
        <v>4.7E-2</v>
      </c>
      <c r="Y73" s="12">
        <v>12300</v>
      </c>
      <c r="Z73" s="12">
        <v>1200</v>
      </c>
      <c r="AA73" s="15">
        <v>0.14000000000000001</v>
      </c>
      <c r="AH73" s="41"/>
      <c r="AI73" s="41"/>
      <c r="AJ73" s="41"/>
    </row>
    <row r="74" spans="1:36" s="19" customFormat="1" x14ac:dyDescent="0.25">
      <c r="A74" s="12" t="s">
        <v>39</v>
      </c>
      <c r="B74" s="13">
        <v>9</v>
      </c>
      <c r="C74" s="12" t="s">
        <v>146</v>
      </c>
      <c r="D74" s="29">
        <v>44651</v>
      </c>
      <c r="E74" s="12">
        <v>480000</v>
      </c>
      <c r="F74" s="12">
        <v>50000</v>
      </c>
      <c r="G74" s="12">
        <v>-200</v>
      </c>
      <c r="H74" s="12">
        <v>1200</v>
      </c>
      <c r="I74" s="12">
        <v>-6000</v>
      </c>
      <c r="J74" s="12">
        <v>6700</v>
      </c>
      <c r="K74" s="12">
        <v>10</v>
      </c>
      <c r="L74" s="12">
        <v>210</v>
      </c>
      <c r="M74" s="12">
        <v>491</v>
      </c>
      <c r="N74" s="12">
        <v>62</v>
      </c>
      <c r="O74" s="15">
        <v>5.0999999999999996</v>
      </c>
      <c r="P74" s="12">
        <v>94</v>
      </c>
      <c r="Q74" s="12">
        <v>20</v>
      </c>
      <c r="R74" s="12">
        <v>23</v>
      </c>
      <c r="S74" s="27">
        <v>704000</v>
      </c>
      <c r="T74" s="12">
        <v>75000</v>
      </c>
      <c r="U74" s="15">
        <v>0.82</v>
      </c>
      <c r="V74" s="12">
        <v>1210</v>
      </c>
      <c r="W74" s="12">
        <v>130</v>
      </c>
      <c r="X74" s="49">
        <v>8.7999999999999995E-2</v>
      </c>
      <c r="Y74" s="12">
        <v>14600</v>
      </c>
      <c r="Z74" s="12">
        <v>1800</v>
      </c>
      <c r="AA74" s="15">
        <v>0.15</v>
      </c>
      <c r="AH74" s="41"/>
      <c r="AI74" s="41"/>
      <c r="AJ74" s="41"/>
    </row>
    <row r="75" spans="1:36" s="19" customFormat="1" x14ac:dyDescent="0.25">
      <c r="A75" s="12" t="s">
        <v>39</v>
      </c>
      <c r="B75" s="13">
        <v>10</v>
      </c>
      <c r="C75" s="12" t="s">
        <v>147</v>
      </c>
      <c r="D75" s="29">
        <v>44651</v>
      </c>
      <c r="E75" s="12">
        <v>552000</v>
      </c>
      <c r="F75" s="12">
        <v>70000</v>
      </c>
      <c r="G75" s="12">
        <v>-1000</v>
      </c>
      <c r="H75" s="12">
        <v>1800</v>
      </c>
      <c r="I75" s="12">
        <v>20000</v>
      </c>
      <c r="J75" s="12">
        <v>15000</v>
      </c>
      <c r="K75" s="12">
        <v>-30</v>
      </c>
      <c r="L75" s="12">
        <v>260</v>
      </c>
      <c r="M75" s="12">
        <v>468</v>
      </c>
      <c r="N75" s="12">
        <v>64</v>
      </c>
      <c r="O75" s="15">
        <v>5.8</v>
      </c>
      <c r="P75" s="12">
        <v>92</v>
      </c>
      <c r="Q75" s="12">
        <v>22</v>
      </c>
      <c r="R75" s="12">
        <v>30</v>
      </c>
      <c r="S75" s="27">
        <v>690000</v>
      </c>
      <c r="T75" s="12">
        <v>140000</v>
      </c>
      <c r="U75" s="15">
        <v>1.6</v>
      </c>
      <c r="V75" s="12">
        <v>1530</v>
      </c>
      <c r="W75" s="12">
        <v>260</v>
      </c>
      <c r="X75" s="49">
        <v>7.8E-2</v>
      </c>
      <c r="Y75" s="12">
        <v>13600</v>
      </c>
      <c r="Z75" s="12">
        <v>2100</v>
      </c>
      <c r="AA75" s="15">
        <v>0.13</v>
      </c>
      <c r="AH75" s="41"/>
      <c r="AI75" s="41"/>
      <c r="AJ75" s="41"/>
    </row>
    <row r="76" spans="1:36" s="19" customFormat="1" x14ac:dyDescent="0.25">
      <c r="A76" s="12" t="s">
        <v>39</v>
      </c>
      <c r="B76" s="13">
        <v>11</v>
      </c>
      <c r="C76" s="12" t="s">
        <v>148</v>
      </c>
      <c r="D76" s="29">
        <v>44651</v>
      </c>
      <c r="E76" s="12">
        <v>350000</v>
      </c>
      <c r="F76" s="12">
        <v>23000</v>
      </c>
      <c r="G76" s="12">
        <v>680</v>
      </c>
      <c r="H76" s="12">
        <v>580</v>
      </c>
      <c r="I76" s="12">
        <v>200</v>
      </c>
      <c r="J76" s="12">
        <v>3800</v>
      </c>
      <c r="K76" s="12">
        <v>45</v>
      </c>
      <c r="L76" s="12">
        <v>77</v>
      </c>
      <c r="M76" s="12">
        <v>501</v>
      </c>
      <c r="N76" s="12">
        <v>58</v>
      </c>
      <c r="O76" s="15">
        <v>4</v>
      </c>
      <c r="P76" s="12">
        <v>102</v>
      </c>
      <c r="Q76" s="12">
        <v>14</v>
      </c>
      <c r="R76" s="12">
        <v>19</v>
      </c>
      <c r="S76" s="27">
        <v>515000</v>
      </c>
      <c r="T76" s="12">
        <v>40000</v>
      </c>
      <c r="U76" s="15">
        <v>0.51</v>
      </c>
      <c r="V76" s="12">
        <v>824</v>
      </c>
      <c r="W76" s="12">
        <v>64</v>
      </c>
      <c r="X76" s="49"/>
      <c r="Y76" s="12">
        <v>10150</v>
      </c>
      <c r="Z76" s="12">
        <v>700</v>
      </c>
      <c r="AA76" s="15">
        <v>0.14000000000000001</v>
      </c>
      <c r="AH76" s="41"/>
      <c r="AI76" s="41"/>
      <c r="AJ76" s="41"/>
    </row>
    <row r="77" spans="1:36" s="19" customFormat="1" x14ac:dyDescent="0.25">
      <c r="A77" s="12" t="s">
        <v>39</v>
      </c>
      <c r="B77" s="13">
        <v>12</v>
      </c>
      <c r="C77" s="12" t="s">
        <v>149</v>
      </c>
      <c r="D77" s="29">
        <v>44651</v>
      </c>
      <c r="E77" s="12">
        <v>563000</v>
      </c>
      <c r="F77" s="12">
        <v>98000</v>
      </c>
      <c r="G77" s="12">
        <v>200</v>
      </c>
      <c r="H77" s="12">
        <v>1800</v>
      </c>
      <c r="I77" s="12">
        <v>-50000</v>
      </c>
      <c r="J77" s="12">
        <v>11000</v>
      </c>
      <c r="K77" s="12">
        <v>-150</v>
      </c>
      <c r="L77" s="12">
        <v>190</v>
      </c>
      <c r="M77" s="12">
        <v>582</v>
      </c>
      <c r="N77" s="12">
        <v>63</v>
      </c>
      <c r="O77" s="15">
        <v>5.4</v>
      </c>
      <c r="P77" s="12">
        <v>125</v>
      </c>
      <c r="Q77" s="12">
        <v>37</v>
      </c>
      <c r="R77" s="12">
        <v>25</v>
      </c>
      <c r="S77" s="27">
        <v>740000</v>
      </c>
      <c r="T77" s="12">
        <v>130000</v>
      </c>
      <c r="U77" s="15">
        <v>0.84</v>
      </c>
      <c r="V77" s="12">
        <v>1130</v>
      </c>
      <c r="W77" s="12">
        <v>250</v>
      </c>
      <c r="X77" s="49">
        <v>7.0000000000000007E-2</v>
      </c>
      <c r="Y77" s="12">
        <v>14800</v>
      </c>
      <c r="Z77" s="12">
        <v>2400</v>
      </c>
      <c r="AA77" s="15">
        <v>0.23</v>
      </c>
      <c r="AH77" s="41"/>
      <c r="AI77" s="41"/>
      <c r="AJ77" s="41"/>
    </row>
    <row r="78" spans="1:36" s="19" customFormat="1" x14ac:dyDescent="0.25">
      <c r="A78" s="12" t="s">
        <v>39</v>
      </c>
      <c r="B78" s="13">
        <v>13</v>
      </c>
      <c r="C78" s="12" t="s">
        <v>150</v>
      </c>
      <c r="D78" s="29">
        <v>44651</v>
      </c>
      <c r="E78" s="12">
        <v>553000</v>
      </c>
      <c r="F78" s="12">
        <v>93000</v>
      </c>
      <c r="G78" s="12">
        <v>-1000</v>
      </c>
      <c r="H78" s="12">
        <v>4000</v>
      </c>
      <c r="I78" s="12">
        <v>-10000</v>
      </c>
      <c r="J78" s="12">
        <v>32000</v>
      </c>
      <c r="K78" s="12">
        <v>310</v>
      </c>
      <c r="L78" s="12">
        <v>630</v>
      </c>
      <c r="M78" s="12">
        <v>450</v>
      </c>
      <c r="N78" s="12">
        <v>120</v>
      </c>
      <c r="O78" s="15">
        <v>6.7</v>
      </c>
      <c r="P78" s="12">
        <v>75</v>
      </c>
      <c r="Q78" s="12">
        <v>37</v>
      </c>
      <c r="R78" s="12">
        <v>37</v>
      </c>
      <c r="S78" s="27">
        <v>670000</v>
      </c>
      <c r="T78" s="12">
        <v>170000</v>
      </c>
      <c r="U78" s="15">
        <v>1</v>
      </c>
      <c r="V78" s="12">
        <v>1190</v>
      </c>
      <c r="W78" s="12">
        <v>440</v>
      </c>
      <c r="X78" s="49"/>
      <c r="Y78" s="12">
        <v>13000</v>
      </c>
      <c r="Z78" s="12">
        <v>4900</v>
      </c>
      <c r="AA78" s="15">
        <v>0.3</v>
      </c>
      <c r="AH78" s="41"/>
      <c r="AI78" s="41"/>
      <c r="AJ78" s="41"/>
    </row>
    <row r="79" spans="1:36" x14ac:dyDescent="0.25">
      <c r="A79" s="2" t="s">
        <v>40</v>
      </c>
      <c r="B79" s="16">
        <v>1</v>
      </c>
      <c r="C79" s="2" t="s">
        <v>151</v>
      </c>
      <c r="D79" s="30">
        <v>44651</v>
      </c>
      <c r="E79" s="2">
        <v>481000</v>
      </c>
      <c r="F79" s="2">
        <v>39000</v>
      </c>
      <c r="G79" s="2">
        <v>500</v>
      </c>
      <c r="H79" s="2">
        <v>1100</v>
      </c>
      <c r="I79" s="2">
        <v>-2600</v>
      </c>
      <c r="J79" s="2">
        <v>7200</v>
      </c>
      <c r="K79" s="2">
        <v>100</v>
      </c>
      <c r="L79" s="2">
        <v>180</v>
      </c>
      <c r="M79" s="2">
        <v>312</v>
      </c>
      <c r="N79" s="2">
        <v>27</v>
      </c>
      <c r="O79" s="18">
        <v>4.2</v>
      </c>
      <c r="P79" s="2">
        <v>189</v>
      </c>
      <c r="Q79" s="2">
        <v>24</v>
      </c>
      <c r="R79" s="2">
        <v>26</v>
      </c>
      <c r="S79" s="31">
        <v>780000</v>
      </c>
      <c r="T79" s="2">
        <v>130000</v>
      </c>
      <c r="U79" s="18">
        <v>0.73</v>
      </c>
      <c r="V79" s="2">
        <v>2370</v>
      </c>
      <c r="W79" s="2">
        <v>320</v>
      </c>
      <c r="X79" s="48">
        <v>0.05</v>
      </c>
      <c r="Y79" s="2">
        <v>15400</v>
      </c>
      <c r="Z79" s="2">
        <v>1800</v>
      </c>
      <c r="AA79" s="18">
        <v>0.17</v>
      </c>
    </row>
    <row r="80" spans="1:36" x14ac:dyDescent="0.25">
      <c r="A80" s="2" t="s">
        <v>40</v>
      </c>
      <c r="B80" s="16">
        <v>2</v>
      </c>
      <c r="C80" s="2" t="s">
        <v>152</v>
      </c>
      <c r="D80" s="30">
        <v>44651</v>
      </c>
      <c r="E80" s="2">
        <v>489000</v>
      </c>
      <c r="F80" s="2">
        <v>40000</v>
      </c>
      <c r="G80" s="2">
        <v>1200</v>
      </c>
      <c r="H80" s="2">
        <v>1300</v>
      </c>
      <c r="I80" s="2">
        <v>-4200</v>
      </c>
      <c r="J80" s="2">
        <v>6400</v>
      </c>
      <c r="K80" s="2">
        <v>-10</v>
      </c>
      <c r="L80" s="2">
        <v>160</v>
      </c>
      <c r="M80" s="2">
        <v>425</v>
      </c>
      <c r="N80" s="2">
        <v>58</v>
      </c>
      <c r="O80" s="18">
        <v>4.4000000000000004</v>
      </c>
      <c r="P80" s="2">
        <v>191</v>
      </c>
      <c r="Q80" s="2">
        <v>29</v>
      </c>
      <c r="R80" s="2">
        <v>27</v>
      </c>
      <c r="S80" s="31">
        <v>830000</v>
      </c>
      <c r="T80" s="2">
        <v>140000</v>
      </c>
      <c r="U80" s="18">
        <v>0.42</v>
      </c>
      <c r="V80" s="2">
        <v>2940</v>
      </c>
      <c r="W80" s="2">
        <v>490</v>
      </c>
      <c r="X80" s="48">
        <v>4.2000000000000003E-2</v>
      </c>
      <c r="Y80" s="2">
        <v>16000</v>
      </c>
      <c r="Z80" s="2">
        <v>1800</v>
      </c>
      <c r="AA80" s="18">
        <v>0.26</v>
      </c>
    </row>
    <row r="81" spans="1:36" x14ac:dyDescent="0.25">
      <c r="A81" s="2" t="s">
        <v>40</v>
      </c>
      <c r="B81" s="16">
        <v>3</v>
      </c>
      <c r="C81" s="2" t="s">
        <v>153</v>
      </c>
      <c r="D81" s="30">
        <v>44651</v>
      </c>
      <c r="E81" s="2">
        <v>479000</v>
      </c>
      <c r="F81" s="2">
        <v>45000</v>
      </c>
      <c r="G81" s="2">
        <v>-200</v>
      </c>
      <c r="H81" s="2">
        <v>1500</v>
      </c>
      <c r="I81" s="2">
        <v>3000</v>
      </c>
      <c r="J81" s="2">
        <v>7500</v>
      </c>
      <c r="K81" s="2">
        <v>120</v>
      </c>
      <c r="L81" s="2">
        <v>190</v>
      </c>
      <c r="M81" s="2">
        <v>330</v>
      </c>
      <c r="N81" s="2">
        <v>39</v>
      </c>
      <c r="O81" s="18">
        <v>5.6</v>
      </c>
      <c r="P81" s="2">
        <v>168</v>
      </c>
      <c r="Q81" s="2">
        <v>38</v>
      </c>
      <c r="R81" s="2">
        <v>27</v>
      </c>
      <c r="S81" s="31">
        <v>870000</v>
      </c>
      <c r="T81" s="2">
        <v>160000</v>
      </c>
      <c r="U81" s="18">
        <v>0.51</v>
      </c>
      <c r="V81" s="2">
        <v>2650</v>
      </c>
      <c r="W81" s="2">
        <v>460</v>
      </c>
      <c r="X81" s="48">
        <v>3.2000000000000001E-2</v>
      </c>
      <c r="Y81" s="2">
        <v>16100</v>
      </c>
      <c r="Z81" s="2">
        <v>2200</v>
      </c>
      <c r="AA81" s="18">
        <v>0.19</v>
      </c>
    </row>
    <row r="82" spans="1:36" x14ac:dyDescent="0.25">
      <c r="A82" s="2" t="s">
        <v>40</v>
      </c>
      <c r="B82" s="16">
        <v>4</v>
      </c>
      <c r="C82" s="2" t="s">
        <v>154</v>
      </c>
      <c r="D82" s="30">
        <v>44651</v>
      </c>
      <c r="E82" s="2">
        <v>489000</v>
      </c>
      <c r="F82" s="2">
        <v>59000</v>
      </c>
      <c r="G82" s="2">
        <v>500</v>
      </c>
      <c r="H82" s="2">
        <v>1600</v>
      </c>
      <c r="I82" s="2">
        <v>-70000</v>
      </c>
      <c r="J82" s="2">
        <v>11000</v>
      </c>
      <c r="K82" s="2">
        <v>40</v>
      </c>
      <c r="L82" s="2">
        <v>210</v>
      </c>
      <c r="M82" s="2">
        <v>374</v>
      </c>
      <c r="N82" s="2">
        <v>36</v>
      </c>
      <c r="O82" s="18">
        <v>6</v>
      </c>
      <c r="P82" s="2">
        <v>183</v>
      </c>
      <c r="Q82" s="2">
        <v>34</v>
      </c>
      <c r="R82" s="2">
        <v>34</v>
      </c>
      <c r="S82" s="31">
        <v>970000</v>
      </c>
      <c r="T82" s="2">
        <v>260000</v>
      </c>
      <c r="U82" s="18">
        <v>0.33</v>
      </c>
      <c r="V82" s="2">
        <v>3270</v>
      </c>
      <c r="W82" s="2">
        <v>660</v>
      </c>
      <c r="X82" s="48">
        <v>7.0000000000000007E-2</v>
      </c>
      <c r="Y82" s="2">
        <v>17900</v>
      </c>
      <c r="Z82" s="2">
        <v>3300</v>
      </c>
      <c r="AA82" s="18">
        <v>0.24</v>
      </c>
    </row>
    <row r="83" spans="1:36" x14ac:dyDescent="0.25">
      <c r="A83" s="2" t="s">
        <v>40</v>
      </c>
      <c r="B83" s="16">
        <v>5</v>
      </c>
      <c r="C83" s="2" t="s">
        <v>155</v>
      </c>
      <c r="D83" s="30">
        <v>44651</v>
      </c>
      <c r="E83" s="2">
        <v>512000</v>
      </c>
      <c r="F83" s="2">
        <v>47000</v>
      </c>
      <c r="G83" s="2">
        <v>6300</v>
      </c>
      <c r="H83" s="2">
        <v>1400</v>
      </c>
      <c r="I83" s="2">
        <v>-300</v>
      </c>
      <c r="J83" s="2">
        <v>6600</v>
      </c>
      <c r="K83" s="2">
        <v>-20</v>
      </c>
      <c r="L83" s="2">
        <v>170</v>
      </c>
      <c r="M83" s="2">
        <v>528</v>
      </c>
      <c r="N83" s="2">
        <v>75</v>
      </c>
      <c r="O83" s="18">
        <v>4.7</v>
      </c>
      <c r="P83" s="2">
        <v>208</v>
      </c>
      <c r="Q83" s="2">
        <v>36</v>
      </c>
      <c r="R83" s="2">
        <v>27</v>
      </c>
      <c r="S83" s="31">
        <v>860000</v>
      </c>
      <c r="T83" s="2">
        <v>150000</v>
      </c>
      <c r="U83" s="18">
        <v>0.36</v>
      </c>
      <c r="V83" s="2">
        <v>2970</v>
      </c>
      <c r="W83" s="2">
        <v>560</v>
      </c>
      <c r="X83" s="48">
        <v>6.8000000000000005E-2</v>
      </c>
      <c r="Y83" s="2">
        <v>16300</v>
      </c>
      <c r="Z83" s="2">
        <v>2000</v>
      </c>
      <c r="AA83" s="18">
        <v>0.22</v>
      </c>
    </row>
    <row r="84" spans="1:36" x14ac:dyDescent="0.25">
      <c r="A84" s="2" t="s">
        <v>40</v>
      </c>
      <c r="B84" s="16">
        <v>6</v>
      </c>
      <c r="C84" s="2" t="s">
        <v>156</v>
      </c>
      <c r="D84" s="30">
        <v>44651</v>
      </c>
      <c r="E84" s="2">
        <v>520000</v>
      </c>
      <c r="F84" s="2">
        <v>110000</v>
      </c>
      <c r="G84" s="2">
        <v>1000</v>
      </c>
      <c r="H84" s="2">
        <v>5800</v>
      </c>
      <c r="I84" s="2">
        <v>20000</v>
      </c>
      <c r="J84" s="2">
        <v>15000</v>
      </c>
      <c r="K84" s="2">
        <v>-211</v>
      </c>
      <c r="L84" s="2">
        <v>96</v>
      </c>
      <c r="M84" s="2">
        <v>398</v>
      </c>
      <c r="N84" s="2">
        <v>87</v>
      </c>
      <c r="O84" s="18">
        <v>7.2</v>
      </c>
      <c r="P84" s="2">
        <v>177</v>
      </c>
      <c r="Q84" s="2">
        <v>67</v>
      </c>
      <c r="R84" s="2">
        <v>42</v>
      </c>
      <c r="S84" s="31">
        <v>800000</v>
      </c>
      <c r="T84" s="2">
        <v>180000</v>
      </c>
      <c r="U84" s="18">
        <v>1.3</v>
      </c>
      <c r="V84" s="2">
        <v>2450</v>
      </c>
      <c r="W84" s="2">
        <v>570</v>
      </c>
      <c r="X84" s="48">
        <v>0.13</v>
      </c>
      <c r="Y84" s="2">
        <v>15300</v>
      </c>
      <c r="Z84" s="2">
        <v>3400</v>
      </c>
      <c r="AA84" s="18">
        <v>0.28000000000000003</v>
      </c>
    </row>
    <row r="85" spans="1:36" s="19" customFormat="1" x14ac:dyDescent="0.25">
      <c r="A85" s="12" t="s">
        <v>62</v>
      </c>
      <c r="B85" s="13">
        <v>1</v>
      </c>
      <c r="C85" s="12" t="s">
        <v>132</v>
      </c>
      <c r="D85" s="29">
        <v>44531</v>
      </c>
      <c r="E85" s="12">
        <v>598000</v>
      </c>
      <c r="F85" s="12">
        <v>45000</v>
      </c>
      <c r="G85" s="12">
        <v>0</v>
      </c>
      <c r="H85" s="12">
        <v>1100</v>
      </c>
      <c r="I85" s="12">
        <v>-60000</v>
      </c>
      <c r="J85" s="12">
        <v>13000</v>
      </c>
      <c r="K85" s="12">
        <v>-40</v>
      </c>
      <c r="L85" s="12">
        <v>190</v>
      </c>
      <c r="M85" s="12">
        <v>526</v>
      </c>
      <c r="N85" s="12">
        <v>54</v>
      </c>
      <c r="O85" s="15">
        <v>4</v>
      </c>
      <c r="P85" s="12">
        <v>347</v>
      </c>
      <c r="Q85" s="12">
        <v>37</v>
      </c>
      <c r="R85" s="12">
        <v>34</v>
      </c>
      <c r="S85" s="27">
        <v>620000</v>
      </c>
      <c r="T85" s="12">
        <v>75000</v>
      </c>
      <c r="U85" s="15">
        <v>0.54</v>
      </c>
      <c r="V85" s="12">
        <v>399</v>
      </c>
      <c r="W85" s="12">
        <v>51</v>
      </c>
      <c r="X85" s="49">
        <v>2.8000000000000001E-2</v>
      </c>
      <c r="Y85" s="12">
        <v>11500</v>
      </c>
      <c r="Z85" s="12">
        <v>1100</v>
      </c>
      <c r="AA85" s="15"/>
      <c r="AH85" s="41"/>
      <c r="AI85" s="41"/>
      <c r="AJ85" s="41"/>
    </row>
    <row r="86" spans="1:36" s="19" customFormat="1" x14ac:dyDescent="0.25">
      <c r="A86" s="12" t="s">
        <v>62</v>
      </c>
      <c r="B86" s="13">
        <v>2</v>
      </c>
      <c r="C86" s="12" t="s">
        <v>133</v>
      </c>
      <c r="D86" s="29">
        <v>44531</v>
      </c>
      <c r="E86" s="12">
        <v>578000</v>
      </c>
      <c r="F86" s="12">
        <v>58000</v>
      </c>
      <c r="G86" s="12">
        <v>0</v>
      </c>
      <c r="H86" s="12">
        <v>1300</v>
      </c>
      <c r="I86" s="12">
        <v>20000</v>
      </c>
      <c r="J86" s="12">
        <v>15000</v>
      </c>
      <c r="K86" s="12">
        <v>-60</v>
      </c>
      <c r="L86" s="12">
        <v>260</v>
      </c>
      <c r="M86" s="12">
        <v>563</v>
      </c>
      <c r="N86" s="12">
        <v>73</v>
      </c>
      <c r="O86" s="15">
        <v>4.7</v>
      </c>
      <c r="P86" s="12">
        <v>370</v>
      </c>
      <c r="Q86" s="12">
        <v>51</v>
      </c>
      <c r="R86" s="12">
        <v>40</v>
      </c>
      <c r="S86" s="27">
        <v>598000</v>
      </c>
      <c r="T86" s="12">
        <v>87000</v>
      </c>
      <c r="U86" s="15">
        <v>0.56000000000000005</v>
      </c>
      <c r="V86" s="12">
        <v>378</v>
      </c>
      <c r="W86" s="12">
        <v>46</v>
      </c>
      <c r="X86" s="49">
        <v>0.05</v>
      </c>
      <c r="Y86" s="12">
        <v>12500</v>
      </c>
      <c r="Z86" s="12">
        <v>1600</v>
      </c>
      <c r="AA86" s="15">
        <v>0.11</v>
      </c>
      <c r="AH86" s="41"/>
      <c r="AI86" s="41"/>
      <c r="AJ86" s="41"/>
    </row>
    <row r="87" spans="1:36" s="19" customFormat="1" x14ac:dyDescent="0.25">
      <c r="A87" s="12" t="s">
        <v>62</v>
      </c>
      <c r="B87" s="13">
        <v>3</v>
      </c>
      <c r="C87" s="12" t="s">
        <v>134</v>
      </c>
      <c r="D87" s="29">
        <v>44531</v>
      </c>
      <c r="E87" s="12">
        <v>375000</v>
      </c>
      <c r="F87" s="12">
        <v>26000</v>
      </c>
      <c r="G87" s="12">
        <v>160</v>
      </c>
      <c r="H87" s="12">
        <v>510</v>
      </c>
      <c r="I87" s="12">
        <v>2200</v>
      </c>
      <c r="J87" s="12">
        <v>6100</v>
      </c>
      <c r="K87" s="12">
        <v>-65</v>
      </c>
      <c r="L87" s="12">
        <v>85</v>
      </c>
      <c r="M87" s="12">
        <v>464</v>
      </c>
      <c r="N87" s="12">
        <v>37</v>
      </c>
      <c r="O87" s="15">
        <v>4</v>
      </c>
      <c r="P87" s="12">
        <v>456</v>
      </c>
      <c r="Q87" s="12">
        <v>29</v>
      </c>
      <c r="R87" s="12">
        <v>30</v>
      </c>
      <c r="S87" s="27">
        <v>445000</v>
      </c>
      <c r="T87" s="12">
        <v>25000</v>
      </c>
      <c r="U87" s="15">
        <v>0.64</v>
      </c>
      <c r="V87" s="12">
        <v>401</v>
      </c>
      <c r="W87" s="12">
        <v>36</v>
      </c>
      <c r="X87" s="49">
        <v>4.4999999999999998E-2</v>
      </c>
      <c r="Y87" s="12">
        <v>8660</v>
      </c>
      <c r="Z87" s="12">
        <v>480</v>
      </c>
      <c r="AA87" s="15">
        <v>8.2000000000000003E-2</v>
      </c>
      <c r="AH87" s="41"/>
      <c r="AI87" s="41"/>
      <c r="AJ87" s="41"/>
    </row>
    <row r="88" spans="1:36" s="19" customFormat="1" x14ac:dyDescent="0.25">
      <c r="A88" s="12" t="s">
        <v>62</v>
      </c>
      <c r="B88" s="13">
        <v>4</v>
      </c>
      <c r="C88" s="12" t="s">
        <v>135</v>
      </c>
      <c r="D88" s="29">
        <v>44531</v>
      </c>
      <c r="E88" s="12">
        <v>370000</v>
      </c>
      <c r="F88" s="12">
        <v>23000</v>
      </c>
      <c r="G88" s="12">
        <v>30</v>
      </c>
      <c r="H88" s="12">
        <v>540</v>
      </c>
      <c r="I88" s="12">
        <v>-900</v>
      </c>
      <c r="J88" s="12">
        <v>5700</v>
      </c>
      <c r="K88" s="12">
        <v>-4</v>
      </c>
      <c r="L88" s="12">
        <v>83</v>
      </c>
      <c r="M88" s="12">
        <v>517</v>
      </c>
      <c r="N88" s="12">
        <v>39</v>
      </c>
      <c r="O88" s="15">
        <v>3.8</v>
      </c>
      <c r="P88" s="12">
        <v>369</v>
      </c>
      <c r="Q88" s="12">
        <v>26</v>
      </c>
      <c r="R88" s="12">
        <v>32</v>
      </c>
      <c r="S88" s="27">
        <v>456000</v>
      </c>
      <c r="T88" s="12">
        <v>28000</v>
      </c>
      <c r="U88" s="15">
        <v>0.59</v>
      </c>
      <c r="V88" s="12">
        <v>472</v>
      </c>
      <c r="W88" s="12">
        <v>32</v>
      </c>
      <c r="X88" s="49">
        <v>2.1999999999999999E-2</v>
      </c>
      <c r="Y88" s="12">
        <v>8770</v>
      </c>
      <c r="Z88" s="12">
        <v>530</v>
      </c>
      <c r="AA88" s="15">
        <v>8.2000000000000003E-2</v>
      </c>
      <c r="AH88" s="41"/>
      <c r="AI88" s="41"/>
      <c r="AJ88" s="41"/>
    </row>
    <row r="89" spans="1:36" s="19" customFormat="1" x14ac:dyDescent="0.25">
      <c r="A89" s="12" t="s">
        <v>62</v>
      </c>
      <c r="B89" s="13">
        <v>5</v>
      </c>
      <c r="C89" s="12" t="s">
        <v>136</v>
      </c>
      <c r="D89" s="29">
        <v>44531</v>
      </c>
      <c r="E89" s="12">
        <v>371000</v>
      </c>
      <c r="F89" s="12">
        <v>24000</v>
      </c>
      <c r="G89" s="12">
        <v>-200</v>
      </c>
      <c r="H89" s="12">
        <v>540</v>
      </c>
      <c r="I89" s="12">
        <v>700</v>
      </c>
      <c r="J89" s="12">
        <v>5700</v>
      </c>
      <c r="K89" s="12">
        <v>90</v>
      </c>
      <c r="L89" s="12">
        <v>100</v>
      </c>
      <c r="M89" s="12">
        <v>498</v>
      </c>
      <c r="N89" s="12">
        <v>36</v>
      </c>
      <c r="O89" s="15">
        <v>3.4</v>
      </c>
      <c r="P89" s="12">
        <v>369</v>
      </c>
      <c r="Q89" s="12">
        <v>27</v>
      </c>
      <c r="R89" s="12">
        <v>31</v>
      </c>
      <c r="S89" s="27">
        <v>437000</v>
      </c>
      <c r="T89" s="12">
        <v>24000</v>
      </c>
      <c r="U89" s="15">
        <v>0.54</v>
      </c>
      <c r="V89" s="12">
        <v>487</v>
      </c>
      <c r="W89" s="12">
        <v>32</v>
      </c>
      <c r="X89" s="49">
        <v>3.2000000000000001E-2</v>
      </c>
      <c r="Y89" s="12">
        <v>8530</v>
      </c>
      <c r="Z89" s="12">
        <v>490</v>
      </c>
      <c r="AA89" s="15">
        <v>7.0000000000000007E-2</v>
      </c>
      <c r="AH89" s="41"/>
      <c r="AI89" s="41"/>
      <c r="AJ89" s="41"/>
    </row>
    <row r="90" spans="1:36" s="19" customFormat="1" x14ac:dyDescent="0.25">
      <c r="A90" s="12" t="s">
        <v>62</v>
      </c>
      <c r="B90" s="13">
        <v>6</v>
      </c>
      <c r="C90" s="12" t="s">
        <v>107</v>
      </c>
      <c r="D90" s="29">
        <v>44531</v>
      </c>
      <c r="E90" s="12">
        <v>349000</v>
      </c>
      <c r="F90" s="12">
        <v>24000</v>
      </c>
      <c r="G90" s="12">
        <v>660</v>
      </c>
      <c r="H90" s="12">
        <v>580</v>
      </c>
      <c r="I90" s="12">
        <v>-3300</v>
      </c>
      <c r="J90" s="12">
        <v>5300</v>
      </c>
      <c r="K90" s="12">
        <v>87</v>
      </c>
      <c r="L90" s="12">
        <v>84</v>
      </c>
      <c r="M90" s="12">
        <v>438</v>
      </c>
      <c r="N90" s="12">
        <v>35</v>
      </c>
      <c r="O90" s="15">
        <v>3.6</v>
      </c>
      <c r="P90" s="12">
        <v>387</v>
      </c>
      <c r="Q90" s="12">
        <v>37</v>
      </c>
      <c r="R90" s="12">
        <v>32</v>
      </c>
      <c r="S90" s="27">
        <v>512000</v>
      </c>
      <c r="T90" s="12">
        <v>47000</v>
      </c>
      <c r="U90" s="15">
        <v>0.51</v>
      </c>
      <c r="V90" s="12">
        <v>324</v>
      </c>
      <c r="W90" s="12">
        <v>27</v>
      </c>
      <c r="X90" s="49">
        <v>4.2000000000000003E-2</v>
      </c>
      <c r="Y90" s="12">
        <v>9690</v>
      </c>
      <c r="Z90" s="12">
        <v>790</v>
      </c>
      <c r="AA90" s="15">
        <v>9.0999999999999998E-2</v>
      </c>
      <c r="AH90" s="41"/>
      <c r="AI90" s="41"/>
      <c r="AJ90" s="41"/>
    </row>
    <row r="91" spans="1:36" s="19" customFormat="1" x14ac:dyDescent="0.25">
      <c r="A91" s="12" t="s">
        <v>62</v>
      </c>
      <c r="B91" s="13">
        <v>7</v>
      </c>
      <c r="C91" s="12" t="s">
        <v>108</v>
      </c>
      <c r="D91" s="29">
        <v>44531</v>
      </c>
      <c r="E91" s="12">
        <v>350000</v>
      </c>
      <c r="F91" s="12">
        <v>26000</v>
      </c>
      <c r="G91" s="12">
        <v>50</v>
      </c>
      <c r="H91" s="12">
        <v>570</v>
      </c>
      <c r="I91" s="12">
        <v>400</v>
      </c>
      <c r="J91" s="12">
        <v>5900</v>
      </c>
      <c r="K91" s="12">
        <v>60</v>
      </c>
      <c r="L91" s="12">
        <v>100</v>
      </c>
      <c r="M91" s="12">
        <v>429</v>
      </c>
      <c r="N91" s="12">
        <v>33</v>
      </c>
      <c r="O91" s="15">
        <v>3.9</v>
      </c>
      <c r="P91" s="12">
        <v>392</v>
      </c>
      <c r="Q91" s="12">
        <v>36</v>
      </c>
      <c r="R91" s="12">
        <v>32</v>
      </c>
      <c r="S91" s="27">
        <v>504000</v>
      </c>
      <c r="T91" s="12">
        <v>46000</v>
      </c>
      <c r="U91" s="15">
        <v>0.55000000000000004</v>
      </c>
      <c r="V91" s="12">
        <v>335</v>
      </c>
      <c r="W91" s="12">
        <v>29</v>
      </c>
      <c r="X91" s="49">
        <v>2.4E-2</v>
      </c>
      <c r="Y91" s="12">
        <v>9860</v>
      </c>
      <c r="Z91" s="12">
        <v>790</v>
      </c>
      <c r="AA91" s="15">
        <v>0.11</v>
      </c>
      <c r="AH91" s="41"/>
      <c r="AI91" s="41"/>
      <c r="AJ91" s="41"/>
    </row>
    <row r="92" spans="1:36" s="19" customFormat="1" x14ac:dyDescent="0.25">
      <c r="A92" s="12" t="s">
        <v>62</v>
      </c>
      <c r="B92" s="13">
        <v>8</v>
      </c>
      <c r="C92" s="12" t="s">
        <v>109</v>
      </c>
      <c r="D92" s="29">
        <v>44531</v>
      </c>
      <c r="E92" s="12">
        <v>359000</v>
      </c>
      <c r="F92" s="12">
        <v>26000</v>
      </c>
      <c r="G92" s="12">
        <v>310</v>
      </c>
      <c r="H92" s="12">
        <v>610</v>
      </c>
      <c r="I92" s="12">
        <v>100</v>
      </c>
      <c r="J92" s="12">
        <v>6200</v>
      </c>
      <c r="K92" s="12">
        <v>0</v>
      </c>
      <c r="L92" s="12">
        <v>110</v>
      </c>
      <c r="M92" s="12">
        <v>449</v>
      </c>
      <c r="N92" s="12">
        <v>35</v>
      </c>
      <c r="O92" s="15">
        <v>3.7</v>
      </c>
      <c r="P92" s="12">
        <v>403</v>
      </c>
      <c r="Q92" s="12">
        <v>33</v>
      </c>
      <c r="R92" s="12">
        <v>34</v>
      </c>
      <c r="S92" s="27">
        <v>527000</v>
      </c>
      <c r="T92" s="12">
        <v>48000</v>
      </c>
      <c r="U92" s="15">
        <v>0.5</v>
      </c>
      <c r="V92" s="12">
        <v>357</v>
      </c>
      <c r="W92" s="12">
        <v>33</v>
      </c>
      <c r="X92" s="49"/>
      <c r="Y92" s="12">
        <v>10410</v>
      </c>
      <c r="Z92" s="12">
        <v>890</v>
      </c>
      <c r="AA92" s="15">
        <v>5.6000000000000001E-2</v>
      </c>
      <c r="AH92" s="41"/>
      <c r="AI92" s="41"/>
      <c r="AJ92" s="41"/>
    </row>
    <row r="93" spans="1:36" x14ac:dyDescent="0.25">
      <c r="A93" s="2" t="s">
        <v>63</v>
      </c>
      <c r="B93" s="16">
        <v>1</v>
      </c>
      <c r="C93" s="2" t="s">
        <v>112</v>
      </c>
      <c r="D93" s="30">
        <v>44531</v>
      </c>
      <c r="E93" s="2">
        <v>647000</v>
      </c>
      <c r="F93" s="2">
        <v>56000</v>
      </c>
      <c r="G93" s="2">
        <v>600</v>
      </c>
      <c r="H93" s="2">
        <v>1700</v>
      </c>
      <c r="I93" s="2">
        <v>15000</v>
      </c>
      <c r="J93" s="2">
        <v>20000</v>
      </c>
      <c r="K93" s="2">
        <v>580</v>
      </c>
      <c r="L93" s="2">
        <v>360</v>
      </c>
      <c r="M93" s="2">
        <v>521</v>
      </c>
      <c r="N93" s="2">
        <v>55</v>
      </c>
      <c r="O93" s="18">
        <v>3</v>
      </c>
      <c r="P93" s="2">
        <v>98</v>
      </c>
      <c r="Q93" s="2">
        <v>21</v>
      </c>
      <c r="R93" s="2">
        <v>35</v>
      </c>
      <c r="S93" s="31">
        <v>647000</v>
      </c>
      <c r="T93" s="2">
        <v>85000</v>
      </c>
      <c r="U93" s="18">
        <v>0.6</v>
      </c>
      <c r="V93" s="2">
        <v>402</v>
      </c>
      <c r="W93" s="2">
        <v>43</v>
      </c>
      <c r="X93" s="48">
        <v>5.8999999999999997E-2</v>
      </c>
      <c r="Y93" s="2">
        <v>14700</v>
      </c>
      <c r="Z93" s="2">
        <v>1700</v>
      </c>
      <c r="AA93" s="18">
        <v>0.12</v>
      </c>
    </row>
    <row r="94" spans="1:36" x14ac:dyDescent="0.25">
      <c r="A94" s="2" t="s">
        <v>63</v>
      </c>
      <c r="B94" s="16">
        <v>2</v>
      </c>
      <c r="C94" s="2" t="s">
        <v>137</v>
      </c>
      <c r="D94" s="30">
        <v>44531</v>
      </c>
      <c r="E94" s="2">
        <v>610000</v>
      </c>
      <c r="F94" s="2">
        <v>110000</v>
      </c>
      <c r="G94" s="2">
        <v>5500</v>
      </c>
      <c r="H94" s="2">
        <v>2800</v>
      </c>
      <c r="I94" s="2">
        <v>39000</v>
      </c>
      <c r="J94" s="2">
        <v>39000</v>
      </c>
      <c r="K94" s="2">
        <v>1050</v>
      </c>
      <c r="L94" s="2">
        <v>710</v>
      </c>
      <c r="M94" s="2">
        <v>650</v>
      </c>
      <c r="N94" s="2">
        <v>100</v>
      </c>
      <c r="O94" s="18">
        <v>4.5</v>
      </c>
      <c r="P94" s="2">
        <v>116</v>
      </c>
      <c r="Q94" s="2">
        <v>27</v>
      </c>
      <c r="R94" s="2">
        <v>51</v>
      </c>
      <c r="S94" s="31">
        <v>740000</v>
      </c>
      <c r="T94" s="2">
        <v>180000</v>
      </c>
      <c r="U94" s="18">
        <v>0.73</v>
      </c>
      <c r="V94" s="2">
        <v>380</v>
      </c>
      <c r="W94" s="2">
        <v>83</v>
      </c>
      <c r="X94" s="48">
        <v>7.5999999999999998E-2</v>
      </c>
      <c r="Y94" s="2">
        <v>14000</v>
      </c>
      <c r="Z94" s="2">
        <v>1900</v>
      </c>
      <c r="AA94" s="18">
        <v>0.17</v>
      </c>
    </row>
    <row r="95" spans="1:36" x14ac:dyDescent="0.25">
      <c r="A95" s="2" t="s">
        <v>63</v>
      </c>
      <c r="B95" s="16">
        <v>3</v>
      </c>
      <c r="C95" s="2" t="s">
        <v>138</v>
      </c>
      <c r="D95" s="30">
        <v>44531</v>
      </c>
      <c r="E95" s="2">
        <v>638000</v>
      </c>
      <c r="F95" s="2">
        <v>60000</v>
      </c>
      <c r="G95" s="2">
        <v>400</v>
      </c>
      <c r="H95" s="2">
        <v>1600</v>
      </c>
      <c r="I95" s="2">
        <v>-30000</v>
      </c>
      <c r="J95" s="2">
        <v>12000</v>
      </c>
      <c r="K95" s="2">
        <v>50</v>
      </c>
      <c r="L95" s="2">
        <v>310</v>
      </c>
      <c r="M95" s="2">
        <v>500</v>
      </c>
      <c r="N95" s="2">
        <v>79</v>
      </c>
      <c r="O95" s="18">
        <v>3.8</v>
      </c>
      <c r="P95" s="2">
        <v>101</v>
      </c>
      <c r="Q95" s="2">
        <v>29</v>
      </c>
      <c r="R95" s="2">
        <v>40</v>
      </c>
      <c r="S95" s="31">
        <v>697000</v>
      </c>
      <c r="T95" s="2">
        <v>97000</v>
      </c>
      <c r="U95" s="18">
        <v>0.56000000000000005</v>
      </c>
      <c r="V95" s="2">
        <v>530</v>
      </c>
      <c r="W95" s="2">
        <v>120</v>
      </c>
      <c r="X95" s="48">
        <v>4.7E-2</v>
      </c>
      <c r="Y95" s="2">
        <v>14400</v>
      </c>
      <c r="Z95" s="2">
        <v>1900</v>
      </c>
      <c r="AA95" s="18">
        <v>0.13</v>
      </c>
    </row>
    <row r="96" spans="1:36" x14ac:dyDescent="0.25">
      <c r="A96" s="2" t="s">
        <v>63</v>
      </c>
      <c r="B96" s="16">
        <v>4</v>
      </c>
      <c r="C96" s="2" t="s">
        <v>115</v>
      </c>
      <c r="D96" s="30">
        <v>44531</v>
      </c>
      <c r="E96" s="2">
        <v>634000</v>
      </c>
      <c r="F96" s="2">
        <v>51000</v>
      </c>
      <c r="G96" s="2">
        <v>400</v>
      </c>
      <c r="H96" s="2">
        <v>2100</v>
      </c>
      <c r="I96" s="2">
        <v>-13000</v>
      </c>
      <c r="J96" s="2">
        <v>15000</v>
      </c>
      <c r="K96" s="2">
        <v>230</v>
      </c>
      <c r="L96" s="2">
        <v>350</v>
      </c>
      <c r="M96" s="2">
        <v>475</v>
      </c>
      <c r="N96" s="2">
        <v>35</v>
      </c>
      <c r="O96" s="18">
        <v>4.7</v>
      </c>
      <c r="P96" s="2">
        <v>95</v>
      </c>
      <c r="Q96" s="2">
        <v>46</v>
      </c>
      <c r="R96" s="2">
        <v>42</v>
      </c>
      <c r="S96" s="31">
        <v>743000</v>
      </c>
      <c r="T96" s="2">
        <v>83000</v>
      </c>
      <c r="U96" s="18">
        <v>0.76</v>
      </c>
      <c r="V96" s="2">
        <v>487</v>
      </c>
      <c r="W96" s="2">
        <v>51</v>
      </c>
      <c r="X96" s="48">
        <v>6.7000000000000004E-2</v>
      </c>
      <c r="Y96" s="2">
        <v>16300</v>
      </c>
      <c r="Z96" s="2">
        <v>2500</v>
      </c>
      <c r="AA96" s="18">
        <v>0.15</v>
      </c>
    </row>
    <row r="97" spans="1:36" x14ac:dyDescent="0.25">
      <c r="A97" s="2" t="s">
        <v>63</v>
      </c>
      <c r="B97" s="16">
        <v>5</v>
      </c>
      <c r="C97" s="2" t="s">
        <v>117</v>
      </c>
      <c r="D97" s="30">
        <v>44531</v>
      </c>
      <c r="E97" s="2">
        <v>652000</v>
      </c>
      <c r="F97" s="2">
        <v>45000</v>
      </c>
      <c r="G97" s="2">
        <v>600</v>
      </c>
      <c r="H97" s="2">
        <v>1400</v>
      </c>
      <c r="I97" s="2">
        <v>12000</v>
      </c>
      <c r="J97" s="2">
        <v>16000</v>
      </c>
      <c r="K97" s="2">
        <v>340</v>
      </c>
      <c r="L97" s="2">
        <v>210</v>
      </c>
      <c r="M97" s="2">
        <v>485</v>
      </c>
      <c r="N97" s="2">
        <v>37</v>
      </c>
      <c r="O97" s="18">
        <v>4.2</v>
      </c>
      <c r="P97" s="2">
        <v>93</v>
      </c>
      <c r="Q97" s="2">
        <v>24</v>
      </c>
      <c r="R97" s="2">
        <v>39</v>
      </c>
      <c r="S97" s="31">
        <v>692000</v>
      </c>
      <c r="T97" s="2">
        <v>87000</v>
      </c>
      <c r="U97" s="18">
        <v>0.43</v>
      </c>
      <c r="V97" s="2">
        <v>391</v>
      </c>
      <c r="W97" s="2">
        <v>46</v>
      </c>
      <c r="X97" s="48">
        <v>0.02</v>
      </c>
      <c r="Y97" s="2">
        <v>12960</v>
      </c>
      <c r="Z97" s="2">
        <v>980</v>
      </c>
      <c r="AA97" s="18">
        <v>6.2E-2</v>
      </c>
    </row>
    <row r="98" spans="1:36" x14ac:dyDescent="0.25">
      <c r="A98" s="2" t="s">
        <v>63</v>
      </c>
      <c r="B98" s="16">
        <v>6</v>
      </c>
      <c r="C98" s="2" t="s">
        <v>118</v>
      </c>
      <c r="D98" s="30">
        <v>44531</v>
      </c>
      <c r="E98" s="2">
        <v>675000</v>
      </c>
      <c r="F98" s="2">
        <v>72000</v>
      </c>
      <c r="G98" s="2">
        <v>-500</v>
      </c>
      <c r="H98" s="2">
        <v>3100</v>
      </c>
      <c r="I98" s="2">
        <v>43000</v>
      </c>
      <c r="J98" s="2">
        <v>21000</v>
      </c>
      <c r="K98" s="2">
        <v>350</v>
      </c>
      <c r="L98" s="2">
        <v>600</v>
      </c>
      <c r="M98" s="2">
        <v>417</v>
      </c>
      <c r="N98" s="2">
        <v>34</v>
      </c>
      <c r="O98" s="18">
        <v>4.3</v>
      </c>
      <c r="P98" s="2">
        <v>90</v>
      </c>
      <c r="Q98" s="2">
        <v>43</v>
      </c>
      <c r="R98" s="2">
        <v>37</v>
      </c>
      <c r="S98" s="31">
        <v>717000</v>
      </c>
      <c r="T98" s="2">
        <v>98000</v>
      </c>
      <c r="U98" s="18">
        <v>0.48</v>
      </c>
      <c r="V98" s="2">
        <v>348</v>
      </c>
      <c r="W98" s="2">
        <v>54</v>
      </c>
      <c r="X98" s="48">
        <v>4.5999999999999999E-2</v>
      </c>
      <c r="Y98" s="2">
        <v>14740</v>
      </c>
      <c r="Z98" s="2">
        <v>870</v>
      </c>
      <c r="AA98" s="18">
        <v>6.5000000000000002E-2</v>
      </c>
    </row>
    <row r="99" spans="1:36" s="19" customFormat="1" x14ac:dyDescent="0.25">
      <c r="A99" s="40" t="s">
        <v>64</v>
      </c>
      <c r="B99" s="13">
        <v>2</v>
      </c>
      <c r="C99" s="12" t="s">
        <v>143</v>
      </c>
      <c r="D99" s="29">
        <v>44531</v>
      </c>
      <c r="E99" s="12">
        <v>550000</v>
      </c>
      <c r="F99" s="12">
        <v>34000</v>
      </c>
      <c r="G99" s="12">
        <v>140</v>
      </c>
      <c r="H99" s="12">
        <v>810</v>
      </c>
      <c r="I99" s="12">
        <v>-300</v>
      </c>
      <c r="J99" s="12">
        <v>7700</v>
      </c>
      <c r="K99" s="12">
        <v>40</v>
      </c>
      <c r="L99" s="12">
        <v>130</v>
      </c>
      <c r="M99" s="12">
        <v>265</v>
      </c>
      <c r="N99" s="12">
        <v>18</v>
      </c>
      <c r="O99" s="15">
        <v>2</v>
      </c>
      <c r="P99" s="12">
        <v>125</v>
      </c>
      <c r="Q99" s="12">
        <v>13</v>
      </c>
      <c r="R99" s="12">
        <v>22</v>
      </c>
      <c r="S99" s="27">
        <v>611000</v>
      </c>
      <c r="T99" s="12">
        <v>51000</v>
      </c>
      <c r="U99" s="15">
        <v>0.33</v>
      </c>
      <c r="V99" s="12">
        <v>1126</v>
      </c>
      <c r="W99" s="12">
        <v>91</v>
      </c>
      <c r="X99" s="49">
        <v>2.1000000000000001E-2</v>
      </c>
      <c r="Y99" s="12">
        <v>12020</v>
      </c>
      <c r="Z99" s="12">
        <v>890</v>
      </c>
      <c r="AA99" s="15">
        <v>6.9000000000000006E-2</v>
      </c>
      <c r="AH99" s="41"/>
      <c r="AI99" s="41"/>
      <c r="AJ99" s="41"/>
    </row>
    <row r="100" spans="1:36" s="19" customFormat="1" x14ac:dyDescent="0.25">
      <c r="A100" s="40" t="s">
        <v>64</v>
      </c>
      <c r="B100" s="13">
        <v>3</v>
      </c>
      <c r="C100" s="12" t="s">
        <v>158</v>
      </c>
      <c r="D100" s="29">
        <v>44531</v>
      </c>
      <c r="E100" s="12">
        <v>469000</v>
      </c>
      <c r="F100" s="12">
        <v>28000</v>
      </c>
      <c r="G100" s="12">
        <v>110</v>
      </c>
      <c r="H100" s="12">
        <v>590</v>
      </c>
      <c r="I100" s="12">
        <v>-1700</v>
      </c>
      <c r="J100" s="12">
        <v>4500</v>
      </c>
      <c r="K100" s="12">
        <v>22</v>
      </c>
      <c r="L100" s="12">
        <v>87</v>
      </c>
      <c r="M100" s="12">
        <v>255</v>
      </c>
      <c r="N100" s="12">
        <v>20</v>
      </c>
      <c r="O100" s="15">
        <v>2.2000000000000002</v>
      </c>
      <c r="P100" s="12">
        <v>145</v>
      </c>
      <c r="Q100" s="12">
        <v>14</v>
      </c>
      <c r="R100" s="12">
        <v>20</v>
      </c>
      <c r="S100" s="27">
        <v>474000</v>
      </c>
      <c r="T100" s="12">
        <v>36000</v>
      </c>
      <c r="U100" s="15">
        <v>0.37</v>
      </c>
      <c r="V100" s="12">
        <v>619</v>
      </c>
      <c r="W100" s="12">
        <v>40</v>
      </c>
      <c r="X100" s="49">
        <v>1.0999999999999999E-2</v>
      </c>
      <c r="Y100" s="12">
        <v>9300</v>
      </c>
      <c r="Z100" s="12">
        <v>580</v>
      </c>
      <c r="AA100" s="15">
        <v>6.5000000000000002E-2</v>
      </c>
      <c r="AH100" s="41"/>
      <c r="AI100" s="41"/>
      <c r="AJ100" s="41"/>
    </row>
    <row r="101" spans="1:36" s="19" customFormat="1" x14ac:dyDescent="0.25">
      <c r="A101" s="40" t="s">
        <v>64</v>
      </c>
      <c r="B101" s="13">
        <v>4</v>
      </c>
      <c r="C101" s="12" t="s">
        <v>144</v>
      </c>
      <c r="D101" s="29">
        <v>44531</v>
      </c>
      <c r="E101" s="12">
        <v>561000</v>
      </c>
      <c r="F101" s="12">
        <v>50000</v>
      </c>
      <c r="G101" s="12">
        <v>100</v>
      </c>
      <c r="H101" s="12">
        <v>1100</v>
      </c>
      <c r="I101" s="12">
        <v>50000</v>
      </c>
      <c r="J101" s="12">
        <v>15000</v>
      </c>
      <c r="K101" s="12">
        <v>50</v>
      </c>
      <c r="L101" s="12">
        <v>170</v>
      </c>
      <c r="M101" s="12">
        <v>318</v>
      </c>
      <c r="N101" s="12">
        <v>40</v>
      </c>
      <c r="O101" s="15">
        <v>3.7</v>
      </c>
      <c r="P101" s="12">
        <v>131</v>
      </c>
      <c r="Q101" s="12">
        <v>29</v>
      </c>
      <c r="R101" s="12">
        <v>34</v>
      </c>
      <c r="S101" s="27">
        <v>716000</v>
      </c>
      <c r="T101" s="12">
        <v>94000</v>
      </c>
      <c r="U101" s="15">
        <v>0.74</v>
      </c>
      <c r="V101" s="12">
        <v>750</v>
      </c>
      <c r="W101" s="12">
        <v>100</v>
      </c>
      <c r="X101" s="49">
        <v>4.2000000000000003E-2</v>
      </c>
      <c r="Y101" s="12">
        <v>14100</v>
      </c>
      <c r="Z101" s="12">
        <v>1500</v>
      </c>
      <c r="AA101" s="15">
        <v>0.11</v>
      </c>
      <c r="AH101" s="41"/>
      <c r="AI101" s="41"/>
      <c r="AJ101" s="41"/>
    </row>
    <row r="102" spans="1:36" s="19" customFormat="1" x14ac:dyDescent="0.25">
      <c r="A102" s="40" t="s">
        <v>64</v>
      </c>
      <c r="B102" s="13">
        <v>5</v>
      </c>
      <c r="C102" s="12" t="s">
        <v>145</v>
      </c>
      <c r="D102" s="29">
        <v>44531</v>
      </c>
      <c r="E102" s="12">
        <v>608000</v>
      </c>
      <c r="F102" s="12">
        <v>42000</v>
      </c>
      <c r="G102" s="12">
        <v>400</v>
      </c>
      <c r="H102" s="12">
        <v>1000</v>
      </c>
      <c r="I102" s="12">
        <v>-4600</v>
      </c>
      <c r="J102" s="12">
        <v>9200</v>
      </c>
      <c r="K102" s="12">
        <v>-100</v>
      </c>
      <c r="L102" s="12">
        <v>140</v>
      </c>
      <c r="M102" s="12">
        <v>358</v>
      </c>
      <c r="N102" s="12">
        <v>25</v>
      </c>
      <c r="O102" s="15">
        <v>2.4</v>
      </c>
      <c r="P102" s="12">
        <v>45</v>
      </c>
      <c r="Q102" s="12">
        <v>13</v>
      </c>
      <c r="R102" s="12">
        <v>23</v>
      </c>
      <c r="S102" s="27">
        <v>650000</v>
      </c>
      <c r="T102" s="12">
        <v>58000</v>
      </c>
      <c r="U102" s="15">
        <v>0.4</v>
      </c>
      <c r="V102" s="12">
        <v>1130</v>
      </c>
      <c r="W102" s="12">
        <v>110</v>
      </c>
      <c r="X102" s="49">
        <v>1.9E-2</v>
      </c>
      <c r="Y102" s="12">
        <v>13300</v>
      </c>
      <c r="Z102" s="12">
        <v>1200</v>
      </c>
      <c r="AA102" s="15">
        <v>0.08</v>
      </c>
      <c r="AH102" s="41"/>
      <c r="AI102" s="41"/>
      <c r="AJ102" s="41"/>
    </row>
    <row r="103" spans="1:36" s="19" customFormat="1" x14ac:dyDescent="0.25">
      <c r="A103" s="40" t="s">
        <v>64</v>
      </c>
      <c r="B103" s="13">
        <v>6</v>
      </c>
      <c r="C103" s="12" t="s">
        <v>146</v>
      </c>
      <c r="D103" s="29">
        <v>44531</v>
      </c>
      <c r="E103" s="12">
        <v>541000</v>
      </c>
      <c r="F103" s="12">
        <v>31000</v>
      </c>
      <c r="G103" s="12">
        <v>-590</v>
      </c>
      <c r="H103" s="12">
        <v>720</v>
      </c>
      <c r="I103" s="12">
        <v>-4800</v>
      </c>
      <c r="J103" s="12">
        <v>6700</v>
      </c>
      <c r="K103" s="12">
        <v>-36</v>
      </c>
      <c r="L103" s="12">
        <v>98</v>
      </c>
      <c r="M103" s="12">
        <v>305</v>
      </c>
      <c r="N103" s="12">
        <v>22</v>
      </c>
      <c r="O103" s="15">
        <v>2.2999999999999998</v>
      </c>
      <c r="P103" s="12">
        <v>115</v>
      </c>
      <c r="Q103" s="12">
        <v>17</v>
      </c>
      <c r="R103" s="12">
        <v>21</v>
      </c>
      <c r="S103" s="27">
        <v>606000</v>
      </c>
      <c r="T103" s="12">
        <v>49000</v>
      </c>
      <c r="U103" s="15">
        <v>0.34</v>
      </c>
      <c r="V103" s="12">
        <v>572</v>
      </c>
      <c r="W103" s="12">
        <v>44</v>
      </c>
      <c r="X103" s="49">
        <v>3.2000000000000001E-2</v>
      </c>
      <c r="Y103" s="12">
        <v>12010</v>
      </c>
      <c r="Z103" s="12">
        <v>780</v>
      </c>
      <c r="AA103" s="15">
        <v>6.0999999999999999E-2</v>
      </c>
      <c r="AH103" s="41"/>
      <c r="AI103" s="41"/>
      <c r="AJ103" s="41"/>
    </row>
    <row r="104" spans="1:36" s="19" customFormat="1" x14ac:dyDescent="0.25">
      <c r="A104" s="40" t="s">
        <v>64</v>
      </c>
      <c r="B104" s="13">
        <v>7</v>
      </c>
      <c r="C104" s="12" t="s">
        <v>147</v>
      </c>
      <c r="D104" s="29">
        <v>44531</v>
      </c>
      <c r="E104" s="12">
        <v>601000</v>
      </c>
      <c r="F104" s="12">
        <v>39000</v>
      </c>
      <c r="G104" s="12">
        <v>580</v>
      </c>
      <c r="H104" s="12">
        <v>980</v>
      </c>
      <c r="I104" s="12">
        <v>4300</v>
      </c>
      <c r="J104" s="12">
        <v>7900</v>
      </c>
      <c r="K104" s="12">
        <v>-50</v>
      </c>
      <c r="L104" s="12">
        <v>130</v>
      </c>
      <c r="M104" s="12">
        <v>458</v>
      </c>
      <c r="N104" s="12">
        <v>30</v>
      </c>
      <c r="O104" s="15">
        <v>2.4</v>
      </c>
      <c r="P104" s="12">
        <v>146</v>
      </c>
      <c r="Q104" s="12">
        <v>19</v>
      </c>
      <c r="R104" s="12">
        <v>21</v>
      </c>
      <c r="S104" s="27">
        <v>710000</v>
      </c>
      <c r="T104" s="12">
        <v>55000</v>
      </c>
      <c r="U104" s="15">
        <v>0.39</v>
      </c>
      <c r="V104" s="12">
        <v>1106</v>
      </c>
      <c r="W104" s="12">
        <v>82</v>
      </c>
      <c r="X104" s="49">
        <v>2.1999999999999999E-2</v>
      </c>
      <c r="Y104" s="12">
        <v>13980</v>
      </c>
      <c r="Z104" s="12">
        <v>940</v>
      </c>
      <c r="AA104" s="15">
        <v>9.9000000000000005E-2</v>
      </c>
      <c r="AH104" s="41"/>
      <c r="AI104" s="41"/>
      <c r="AJ104" s="41"/>
    </row>
    <row r="105" spans="1:36" s="19" customFormat="1" x14ac:dyDescent="0.25">
      <c r="A105" s="40" t="s">
        <v>64</v>
      </c>
      <c r="B105" s="13">
        <v>8</v>
      </c>
      <c r="C105" s="12" t="s">
        <v>148</v>
      </c>
      <c r="D105" s="29">
        <v>44531</v>
      </c>
      <c r="E105" s="12">
        <v>556000</v>
      </c>
      <c r="F105" s="12">
        <v>29000</v>
      </c>
      <c r="G105" s="12">
        <v>80</v>
      </c>
      <c r="H105" s="12">
        <v>720</v>
      </c>
      <c r="I105" s="12">
        <v>5300</v>
      </c>
      <c r="J105" s="12">
        <v>6100</v>
      </c>
      <c r="K105" s="12">
        <v>110</v>
      </c>
      <c r="L105" s="12">
        <v>150</v>
      </c>
      <c r="M105" s="12">
        <v>437</v>
      </c>
      <c r="N105" s="12">
        <v>23</v>
      </c>
      <c r="O105" s="15">
        <v>2.2000000000000002</v>
      </c>
      <c r="P105" s="12">
        <v>158</v>
      </c>
      <c r="Q105" s="12">
        <v>13</v>
      </c>
      <c r="R105" s="12">
        <v>20</v>
      </c>
      <c r="S105" s="27">
        <v>667000</v>
      </c>
      <c r="T105" s="12">
        <v>46000</v>
      </c>
      <c r="U105" s="15">
        <v>0.4</v>
      </c>
      <c r="V105" s="12">
        <v>943</v>
      </c>
      <c r="W105" s="12">
        <v>62</v>
      </c>
      <c r="X105" s="49">
        <v>2.5999999999999999E-2</v>
      </c>
      <c r="Y105" s="12">
        <v>14280</v>
      </c>
      <c r="Z105" s="12">
        <v>960</v>
      </c>
      <c r="AA105" s="15">
        <v>7.3999999999999996E-2</v>
      </c>
      <c r="AH105" s="41"/>
      <c r="AI105" s="41"/>
      <c r="AJ105" s="41"/>
    </row>
    <row r="106" spans="1:36" s="19" customFormat="1" x14ac:dyDescent="0.25">
      <c r="A106" s="40" t="s">
        <v>64</v>
      </c>
      <c r="B106" s="13">
        <v>9</v>
      </c>
      <c r="C106" s="12" t="s">
        <v>149</v>
      </c>
      <c r="D106" s="29">
        <v>44531</v>
      </c>
      <c r="E106" s="12">
        <v>563000</v>
      </c>
      <c r="F106" s="12">
        <v>29000</v>
      </c>
      <c r="G106" s="12">
        <v>-550</v>
      </c>
      <c r="H106" s="12">
        <v>980</v>
      </c>
      <c r="I106" s="12">
        <v>-500</v>
      </c>
      <c r="J106" s="12">
        <v>8100</v>
      </c>
      <c r="K106" s="12">
        <v>40</v>
      </c>
      <c r="L106" s="12">
        <v>170</v>
      </c>
      <c r="M106" s="12">
        <v>575</v>
      </c>
      <c r="N106" s="12">
        <v>40</v>
      </c>
      <c r="O106" s="15">
        <v>2.6</v>
      </c>
      <c r="P106" s="12">
        <v>151</v>
      </c>
      <c r="Q106" s="12">
        <v>17</v>
      </c>
      <c r="R106" s="12">
        <v>24</v>
      </c>
      <c r="S106" s="27">
        <v>778000</v>
      </c>
      <c r="T106" s="12">
        <v>51000</v>
      </c>
      <c r="U106" s="15">
        <v>0.5</v>
      </c>
      <c r="V106" s="12">
        <v>1400</v>
      </c>
      <c r="W106" s="12">
        <v>140</v>
      </c>
      <c r="X106" s="49">
        <v>3.6999999999999998E-2</v>
      </c>
      <c r="Y106" s="12">
        <v>14710</v>
      </c>
      <c r="Z106" s="12">
        <v>990</v>
      </c>
      <c r="AA106" s="15">
        <v>0.13</v>
      </c>
      <c r="AH106" s="41"/>
      <c r="AI106" s="41"/>
      <c r="AJ106" s="41"/>
    </row>
    <row r="107" spans="1:36" s="19" customFormat="1" x14ac:dyDescent="0.25">
      <c r="A107" s="40" t="s">
        <v>64</v>
      </c>
      <c r="B107" s="13">
        <v>10</v>
      </c>
      <c r="C107" s="12" t="s">
        <v>159</v>
      </c>
      <c r="D107" s="29">
        <v>44531</v>
      </c>
      <c r="E107" s="12">
        <v>643000</v>
      </c>
      <c r="F107" s="12">
        <v>56000</v>
      </c>
      <c r="G107" s="12">
        <v>-1300</v>
      </c>
      <c r="H107" s="12">
        <v>1500</v>
      </c>
      <c r="I107" s="12">
        <v>-30000</v>
      </c>
      <c r="J107" s="12">
        <v>12000</v>
      </c>
      <c r="K107" s="12">
        <v>190</v>
      </c>
      <c r="L107" s="12">
        <v>210</v>
      </c>
      <c r="M107" s="12">
        <v>442</v>
      </c>
      <c r="N107" s="12">
        <v>59</v>
      </c>
      <c r="O107" s="15">
        <v>3</v>
      </c>
      <c r="P107" s="12">
        <v>145</v>
      </c>
      <c r="Q107" s="12">
        <v>18</v>
      </c>
      <c r="R107" s="12">
        <v>25</v>
      </c>
      <c r="S107" s="27">
        <v>760000</v>
      </c>
      <c r="T107" s="12">
        <v>110000</v>
      </c>
      <c r="U107" s="15">
        <v>0.57999999999999996</v>
      </c>
      <c r="V107" s="12">
        <v>1220</v>
      </c>
      <c r="W107" s="12">
        <v>120</v>
      </c>
      <c r="X107" s="49">
        <v>0.03</v>
      </c>
      <c r="Y107" s="12">
        <v>14100</v>
      </c>
      <c r="Z107" s="12">
        <v>2000</v>
      </c>
      <c r="AA107" s="15">
        <v>0.12</v>
      </c>
      <c r="AH107" s="41"/>
      <c r="AI107" s="41"/>
      <c r="AJ107" s="41"/>
    </row>
    <row r="108" spans="1:36" x14ac:dyDescent="0.25">
      <c r="A108" s="2" t="s">
        <v>53</v>
      </c>
      <c r="B108" s="16">
        <v>1</v>
      </c>
      <c r="C108" s="2" t="s">
        <v>76</v>
      </c>
      <c r="D108" s="30">
        <v>44623</v>
      </c>
      <c r="E108" s="2">
        <v>395000</v>
      </c>
      <c r="F108" s="2">
        <v>48000</v>
      </c>
      <c r="G108" s="2">
        <v>-1000</v>
      </c>
      <c r="H108" s="2">
        <v>1100</v>
      </c>
      <c r="I108" s="2">
        <v>100</v>
      </c>
      <c r="J108" s="2">
        <v>7300</v>
      </c>
      <c r="K108" s="2">
        <v>-20</v>
      </c>
      <c r="L108" s="2">
        <v>130</v>
      </c>
      <c r="M108" s="2">
        <v>505</v>
      </c>
      <c r="N108" s="2">
        <v>58</v>
      </c>
      <c r="O108" s="18">
        <v>5.0999999999999996</v>
      </c>
      <c r="P108" s="2">
        <v>143</v>
      </c>
      <c r="Q108" s="2">
        <v>28</v>
      </c>
      <c r="R108" s="2">
        <v>32</v>
      </c>
      <c r="S108" s="31">
        <v>701000</v>
      </c>
      <c r="T108" s="2">
        <v>68000</v>
      </c>
      <c r="U108" s="18">
        <v>1.1000000000000001</v>
      </c>
      <c r="V108" s="2">
        <v>444</v>
      </c>
      <c r="W108" s="2">
        <v>49</v>
      </c>
      <c r="X108" s="48">
        <v>0.1</v>
      </c>
      <c r="Y108" s="2">
        <v>12090</v>
      </c>
      <c r="Z108" s="2">
        <v>840</v>
      </c>
      <c r="AA108" s="18">
        <v>0.12</v>
      </c>
    </row>
    <row r="109" spans="1:36" x14ac:dyDescent="0.25">
      <c r="A109" s="2" t="s">
        <v>53</v>
      </c>
      <c r="B109" s="16">
        <v>2</v>
      </c>
      <c r="C109" s="2" t="s">
        <v>77</v>
      </c>
      <c r="D109" s="30">
        <v>44623</v>
      </c>
      <c r="E109" s="2">
        <v>388000</v>
      </c>
      <c r="F109" s="2">
        <v>38000</v>
      </c>
      <c r="G109" s="2">
        <v>300</v>
      </c>
      <c r="H109" s="2">
        <v>1300</v>
      </c>
      <c r="I109" s="2">
        <v>3300</v>
      </c>
      <c r="J109" s="2">
        <v>9400</v>
      </c>
      <c r="K109" s="2">
        <v>190</v>
      </c>
      <c r="L109" s="2">
        <v>220</v>
      </c>
      <c r="M109" s="2">
        <v>462</v>
      </c>
      <c r="N109" s="2">
        <v>55</v>
      </c>
      <c r="O109" s="18">
        <v>5.4</v>
      </c>
      <c r="P109" s="2">
        <v>109</v>
      </c>
      <c r="Q109" s="2">
        <v>23</v>
      </c>
      <c r="R109" s="2">
        <v>33</v>
      </c>
      <c r="S109" s="31">
        <v>714000</v>
      </c>
      <c r="T109" s="2">
        <v>63000</v>
      </c>
      <c r="U109" s="18">
        <v>0.87</v>
      </c>
      <c r="V109" s="2">
        <v>343</v>
      </c>
      <c r="W109" s="2">
        <v>35</v>
      </c>
      <c r="X109" s="48"/>
      <c r="Y109" s="2">
        <v>14300</v>
      </c>
      <c r="Z109" s="2">
        <v>1500</v>
      </c>
      <c r="AA109" s="18">
        <v>0.23</v>
      </c>
    </row>
    <row r="110" spans="1:36" x14ac:dyDescent="0.25">
      <c r="A110" s="2" t="s">
        <v>53</v>
      </c>
      <c r="B110" s="16">
        <v>3</v>
      </c>
      <c r="C110" s="2" t="s">
        <v>78</v>
      </c>
      <c r="D110" s="30">
        <v>44623</v>
      </c>
      <c r="E110" s="2">
        <v>292000</v>
      </c>
      <c r="F110" s="2">
        <v>18000</v>
      </c>
      <c r="G110" s="2">
        <v>-340</v>
      </c>
      <c r="H110" s="2">
        <v>930</v>
      </c>
      <c r="I110" s="2">
        <v>-1100</v>
      </c>
      <c r="J110" s="2">
        <v>4900</v>
      </c>
      <c r="K110" s="2">
        <v>0</v>
      </c>
      <c r="L110" s="2">
        <v>76</v>
      </c>
      <c r="M110" s="2">
        <v>360</v>
      </c>
      <c r="N110" s="2">
        <v>30</v>
      </c>
      <c r="O110" s="18">
        <v>4.5999999999999996</v>
      </c>
      <c r="P110" s="2">
        <v>108</v>
      </c>
      <c r="Q110" s="2">
        <v>18</v>
      </c>
      <c r="R110" s="2">
        <v>26</v>
      </c>
      <c r="S110" s="31">
        <v>526000</v>
      </c>
      <c r="T110" s="2">
        <v>37000</v>
      </c>
      <c r="U110" s="18">
        <v>1.1000000000000001</v>
      </c>
      <c r="V110" s="2">
        <v>355</v>
      </c>
      <c r="W110" s="2">
        <v>33</v>
      </c>
      <c r="X110" s="48">
        <v>4.8000000000000001E-2</v>
      </c>
      <c r="Y110" s="2">
        <v>10370</v>
      </c>
      <c r="Z110" s="2">
        <v>720</v>
      </c>
      <c r="AA110" s="18">
        <v>0.15</v>
      </c>
    </row>
    <row r="111" spans="1:36" x14ac:dyDescent="0.25">
      <c r="A111" s="2" t="s">
        <v>53</v>
      </c>
      <c r="B111" s="16">
        <v>4</v>
      </c>
      <c r="C111" s="2" t="s">
        <v>124</v>
      </c>
      <c r="D111" s="30">
        <v>44623</v>
      </c>
      <c r="E111" s="2">
        <v>374000</v>
      </c>
      <c r="F111" s="2">
        <v>46000</v>
      </c>
      <c r="G111" s="2">
        <v>900</v>
      </c>
      <c r="H111" s="2">
        <v>1400</v>
      </c>
      <c r="I111" s="2">
        <v>-1400</v>
      </c>
      <c r="J111" s="2">
        <v>8100</v>
      </c>
      <c r="K111" s="2">
        <v>60</v>
      </c>
      <c r="L111" s="2">
        <v>110</v>
      </c>
      <c r="M111" s="2">
        <v>519</v>
      </c>
      <c r="N111" s="2">
        <v>57</v>
      </c>
      <c r="O111" s="18">
        <v>5.3</v>
      </c>
      <c r="P111" s="2">
        <v>187</v>
      </c>
      <c r="Q111" s="2">
        <v>29</v>
      </c>
      <c r="R111" s="2">
        <v>37</v>
      </c>
      <c r="S111" s="31">
        <v>777000</v>
      </c>
      <c r="T111" s="2">
        <v>55000</v>
      </c>
      <c r="U111" s="18">
        <v>0.7</v>
      </c>
      <c r="V111" s="2">
        <v>374</v>
      </c>
      <c r="W111" s="2">
        <v>37</v>
      </c>
      <c r="X111" s="48">
        <v>0.12</v>
      </c>
      <c r="Y111" s="2">
        <v>15000</v>
      </c>
      <c r="Z111" s="2">
        <v>1300</v>
      </c>
      <c r="AA111" s="18"/>
    </row>
    <row r="112" spans="1:36" x14ac:dyDescent="0.25">
      <c r="A112" s="2" t="s">
        <v>53</v>
      </c>
      <c r="B112" s="16">
        <v>5</v>
      </c>
      <c r="C112" s="2" t="s">
        <v>101</v>
      </c>
      <c r="D112" s="30">
        <v>44623</v>
      </c>
      <c r="E112" s="2">
        <v>334000</v>
      </c>
      <c r="F112" s="2">
        <v>26000</v>
      </c>
      <c r="G112" s="2">
        <v>400</v>
      </c>
      <c r="H112" s="2">
        <v>1100</v>
      </c>
      <c r="I112" s="2">
        <v>3600</v>
      </c>
      <c r="J112" s="2">
        <v>6000</v>
      </c>
      <c r="K112" s="2">
        <v>-40</v>
      </c>
      <c r="L112" s="2">
        <v>130</v>
      </c>
      <c r="M112" s="2">
        <v>481</v>
      </c>
      <c r="N112" s="2">
        <v>28</v>
      </c>
      <c r="O112" s="18">
        <v>5.2</v>
      </c>
      <c r="P112" s="2">
        <v>128</v>
      </c>
      <c r="Q112" s="2">
        <v>25</v>
      </c>
      <c r="R112" s="2">
        <v>37</v>
      </c>
      <c r="S112" s="31">
        <v>654000</v>
      </c>
      <c r="T112" s="2">
        <v>54000</v>
      </c>
      <c r="U112" s="18">
        <v>0.86</v>
      </c>
      <c r="V112" s="2">
        <v>381</v>
      </c>
      <c r="W112" s="2">
        <v>22</v>
      </c>
      <c r="X112" s="48">
        <v>5.0999999999999997E-2</v>
      </c>
      <c r="Y112" s="2">
        <v>12780</v>
      </c>
      <c r="Z112" s="2">
        <v>880</v>
      </c>
      <c r="AA112" s="18">
        <v>0.19</v>
      </c>
    </row>
    <row r="113" spans="1:36" x14ac:dyDescent="0.25">
      <c r="A113" s="2" t="s">
        <v>53</v>
      </c>
      <c r="B113" s="16">
        <v>6</v>
      </c>
      <c r="C113" s="2" t="s">
        <v>102</v>
      </c>
      <c r="D113" s="30">
        <v>44623</v>
      </c>
      <c r="E113" s="2">
        <v>337000</v>
      </c>
      <c r="F113" s="2">
        <v>29000</v>
      </c>
      <c r="G113" s="2">
        <v>-60</v>
      </c>
      <c r="H113" s="2">
        <v>980</v>
      </c>
      <c r="I113" s="2">
        <v>4800</v>
      </c>
      <c r="J113" s="2">
        <v>5900</v>
      </c>
      <c r="K113" s="2">
        <v>-13</v>
      </c>
      <c r="L113" s="2">
        <v>94</v>
      </c>
      <c r="M113" s="2">
        <v>394</v>
      </c>
      <c r="N113" s="2">
        <v>29</v>
      </c>
      <c r="O113" s="18">
        <v>4.7</v>
      </c>
      <c r="P113" s="2">
        <v>169</v>
      </c>
      <c r="Q113" s="2">
        <v>23</v>
      </c>
      <c r="R113" s="2">
        <v>31</v>
      </c>
      <c r="S113" s="31">
        <v>577000</v>
      </c>
      <c r="T113" s="2">
        <v>42000</v>
      </c>
      <c r="U113" s="18">
        <v>0.55000000000000004</v>
      </c>
      <c r="V113" s="2">
        <v>307</v>
      </c>
      <c r="W113" s="2">
        <v>21</v>
      </c>
      <c r="X113" s="48">
        <v>0.11</v>
      </c>
      <c r="Y113" s="2">
        <v>12090</v>
      </c>
      <c r="Z113" s="2">
        <v>860</v>
      </c>
      <c r="AA113" s="18">
        <v>0.18</v>
      </c>
    </row>
    <row r="114" spans="1:36" x14ac:dyDescent="0.25">
      <c r="A114" s="2" t="s">
        <v>53</v>
      </c>
      <c r="B114" s="16">
        <v>7</v>
      </c>
      <c r="C114" s="2" t="s">
        <v>103</v>
      </c>
      <c r="D114" s="30">
        <v>44623</v>
      </c>
      <c r="E114" s="2">
        <v>504000</v>
      </c>
      <c r="F114" s="2">
        <v>59000</v>
      </c>
      <c r="G114" s="2">
        <v>-500</v>
      </c>
      <c r="H114" s="2">
        <v>2700</v>
      </c>
      <c r="I114" s="2">
        <v>40000</v>
      </c>
      <c r="J114" s="2">
        <v>14000</v>
      </c>
      <c r="K114" s="2">
        <v>-120</v>
      </c>
      <c r="L114" s="2">
        <v>190</v>
      </c>
      <c r="M114" s="2">
        <v>760</v>
      </c>
      <c r="N114" s="2">
        <v>110</v>
      </c>
      <c r="O114" s="18">
        <v>5.8</v>
      </c>
      <c r="P114" s="2">
        <v>80</v>
      </c>
      <c r="Q114" s="2">
        <v>40</v>
      </c>
      <c r="R114" s="2">
        <v>35</v>
      </c>
      <c r="S114" s="31">
        <v>870000</v>
      </c>
      <c r="T114" s="2">
        <v>160000</v>
      </c>
      <c r="U114" s="18">
        <v>0.92</v>
      </c>
      <c r="V114" s="2">
        <v>830</v>
      </c>
      <c r="W114" s="2">
        <v>160</v>
      </c>
      <c r="X114" s="48">
        <v>0.11</v>
      </c>
      <c r="Y114" s="2">
        <v>14500</v>
      </c>
      <c r="Z114" s="2">
        <v>2300</v>
      </c>
      <c r="AA114" s="18">
        <v>0.25</v>
      </c>
    </row>
    <row r="115" spans="1:36" x14ac:dyDescent="0.25">
      <c r="A115" s="2" t="s">
        <v>53</v>
      </c>
      <c r="B115" s="16">
        <v>8</v>
      </c>
      <c r="C115" s="2" t="s">
        <v>125</v>
      </c>
      <c r="D115" s="30">
        <v>44623</v>
      </c>
      <c r="E115" s="2">
        <v>375000</v>
      </c>
      <c r="F115" s="2">
        <v>39000</v>
      </c>
      <c r="G115" s="2">
        <v>100</v>
      </c>
      <c r="H115" s="2">
        <v>1600</v>
      </c>
      <c r="I115" s="2">
        <v>-4000</v>
      </c>
      <c r="J115" s="2">
        <v>6400</v>
      </c>
      <c r="K115" s="2">
        <v>80</v>
      </c>
      <c r="L115" s="2">
        <v>160</v>
      </c>
      <c r="M115" s="2">
        <v>487</v>
      </c>
      <c r="N115" s="2">
        <v>48</v>
      </c>
      <c r="O115" s="18">
        <v>5.3</v>
      </c>
      <c r="P115" s="2">
        <v>138</v>
      </c>
      <c r="Q115" s="2">
        <v>28</v>
      </c>
      <c r="R115" s="2">
        <v>31</v>
      </c>
      <c r="S115" s="31">
        <v>709000</v>
      </c>
      <c r="T115" s="2">
        <v>68000</v>
      </c>
      <c r="U115" s="18">
        <v>0.86</v>
      </c>
      <c r="V115" s="2">
        <v>406</v>
      </c>
      <c r="W115" s="2">
        <v>50</v>
      </c>
      <c r="X115" s="48">
        <v>3.4000000000000002E-2</v>
      </c>
      <c r="Y115" s="2">
        <v>13700</v>
      </c>
      <c r="Z115" s="2">
        <v>1200</v>
      </c>
      <c r="AA115" s="18">
        <v>0.19</v>
      </c>
    </row>
    <row r="116" spans="1:36" x14ac:dyDescent="0.25">
      <c r="A116" s="2" t="s">
        <v>53</v>
      </c>
      <c r="B116" s="16">
        <v>9</v>
      </c>
      <c r="C116" s="2" t="s">
        <v>104</v>
      </c>
      <c r="D116" s="30">
        <v>44623</v>
      </c>
      <c r="E116" s="2">
        <v>346000</v>
      </c>
      <c r="F116" s="2">
        <v>38000</v>
      </c>
      <c r="G116" s="2">
        <v>-300</v>
      </c>
      <c r="H116" s="2">
        <v>1300</v>
      </c>
      <c r="I116" s="2">
        <v>4000</v>
      </c>
      <c r="J116" s="2">
        <v>5300</v>
      </c>
      <c r="K116" s="2">
        <v>-10</v>
      </c>
      <c r="L116" s="2">
        <v>100</v>
      </c>
      <c r="M116" s="2">
        <v>445</v>
      </c>
      <c r="N116" s="2">
        <v>38</v>
      </c>
      <c r="O116" s="18">
        <v>4.8</v>
      </c>
      <c r="P116" s="2">
        <v>163</v>
      </c>
      <c r="Q116" s="2">
        <v>30</v>
      </c>
      <c r="R116" s="2">
        <v>31</v>
      </c>
      <c r="S116" s="31">
        <v>671000</v>
      </c>
      <c r="T116" s="2">
        <v>60000</v>
      </c>
      <c r="U116" s="18">
        <v>0.7</v>
      </c>
      <c r="V116" s="2">
        <v>347</v>
      </c>
      <c r="W116" s="2">
        <v>29</v>
      </c>
      <c r="X116" s="48">
        <v>4.8000000000000001E-2</v>
      </c>
      <c r="Y116" s="2">
        <v>12730</v>
      </c>
      <c r="Z116" s="2">
        <v>910</v>
      </c>
      <c r="AA116" s="18">
        <v>0.16</v>
      </c>
    </row>
    <row r="117" spans="1:36" x14ac:dyDescent="0.25">
      <c r="A117" s="2" t="s">
        <v>53</v>
      </c>
      <c r="B117" s="16">
        <v>10</v>
      </c>
      <c r="C117" s="2" t="s">
        <v>105</v>
      </c>
      <c r="D117" s="30">
        <v>44623</v>
      </c>
      <c r="E117" s="2">
        <v>273000</v>
      </c>
      <c r="F117" s="2">
        <v>19000</v>
      </c>
      <c r="G117" s="2">
        <v>250</v>
      </c>
      <c r="H117" s="2">
        <v>810</v>
      </c>
      <c r="I117" s="2">
        <v>900</v>
      </c>
      <c r="J117" s="2">
        <v>3900</v>
      </c>
      <c r="K117" s="2">
        <v>-55</v>
      </c>
      <c r="L117" s="2">
        <v>81</v>
      </c>
      <c r="M117" s="2">
        <v>401</v>
      </c>
      <c r="N117" s="2">
        <v>31</v>
      </c>
      <c r="O117" s="18">
        <v>5</v>
      </c>
      <c r="P117" s="2">
        <v>134</v>
      </c>
      <c r="Q117" s="2">
        <v>18</v>
      </c>
      <c r="R117" s="2">
        <v>30</v>
      </c>
      <c r="S117" s="31">
        <v>497000</v>
      </c>
      <c r="T117" s="2">
        <v>32000</v>
      </c>
      <c r="U117" s="18">
        <v>0.55000000000000004</v>
      </c>
      <c r="V117" s="2">
        <v>444</v>
      </c>
      <c r="W117" s="2">
        <v>48</v>
      </c>
      <c r="X117" s="48">
        <v>9.8000000000000004E-2</v>
      </c>
      <c r="Y117" s="2">
        <v>10530</v>
      </c>
      <c r="Z117" s="2">
        <v>720</v>
      </c>
      <c r="AA117" s="18">
        <v>0.21</v>
      </c>
    </row>
    <row r="118" spans="1:36" x14ac:dyDescent="0.25">
      <c r="A118" s="2" t="s">
        <v>53</v>
      </c>
      <c r="B118" s="16">
        <v>11</v>
      </c>
      <c r="C118" s="2" t="s">
        <v>106</v>
      </c>
      <c r="D118" s="30">
        <v>44623</v>
      </c>
      <c r="E118" s="2">
        <v>503000</v>
      </c>
      <c r="F118" s="2">
        <v>45000</v>
      </c>
      <c r="G118" s="2">
        <v>3200</v>
      </c>
      <c r="H118" s="2">
        <v>1800</v>
      </c>
      <c r="I118" s="2">
        <v>80000</v>
      </c>
      <c r="J118" s="2">
        <v>13000</v>
      </c>
      <c r="K118" s="2">
        <v>210</v>
      </c>
      <c r="L118" s="2">
        <v>200</v>
      </c>
      <c r="M118" s="2">
        <v>619</v>
      </c>
      <c r="N118" s="2">
        <v>97</v>
      </c>
      <c r="O118" s="18">
        <v>5</v>
      </c>
      <c r="P118" s="2">
        <v>147</v>
      </c>
      <c r="Q118" s="2">
        <v>37</v>
      </c>
      <c r="R118" s="2">
        <v>30</v>
      </c>
      <c r="S118" s="31">
        <v>760000</v>
      </c>
      <c r="T118" s="2">
        <v>170000</v>
      </c>
      <c r="U118" s="18">
        <v>0.54</v>
      </c>
      <c r="V118" s="2">
        <v>384</v>
      </c>
      <c r="W118" s="2">
        <v>53</v>
      </c>
      <c r="X118" s="48">
        <v>6.0999999999999999E-2</v>
      </c>
      <c r="Y118" s="2">
        <v>14100</v>
      </c>
      <c r="Z118" s="2">
        <v>2600</v>
      </c>
      <c r="AA118" s="18">
        <v>0.2</v>
      </c>
    </row>
    <row r="119" spans="1:36" x14ac:dyDescent="0.25">
      <c r="A119" s="2" t="s">
        <v>53</v>
      </c>
      <c r="B119" s="16">
        <v>12</v>
      </c>
      <c r="C119" s="2" t="s">
        <v>131</v>
      </c>
      <c r="D119" s="30">
        <v>44623</v>
      </c>
      <c r="E119" s="2">
        <v>478000</v>
      </c>
      <c r="F119" s="2">
        <v>48000</v>
      </c>
      <c r="G119" s="2">
        <v>-400</v>
      </c>
      <c r="H119" s="2">
        <v>1200</v>
      </c>
      <c r="I119" s="2">
        <v>3200</v>
      </c>
      <c r="J119" s="2">
        <v>6900</v>
      </c>
      <c r="K119" s="2">
        <v>110</v>
      </c>
      <c r="L119" s="2">
        <v>170</v>
      </c>
      <c r="M119" s="2">
        <v>525</v>
      </c>
      <c r="N119" s="2">
        <v>71</v>
      </c>
      <c r="O119" s="18">
        <v>3.9</v>
      </c>
      <c r="P119" s="2">
        <v>130</v>
      </c>
      <c r="Q119" s="2">
        <v>20</v>
      </c>
      <c r="R119" s="2">
        <v>27</v>
      </c>
      <c r="S119" s="31">
        <v>730000</v>
      </c>
      <c r="T119" s="2">
        <v>120000</v>
      </c>
      <c r="U119" s="18">
        <v>0.6</v>
      </c>
      <c r="V119" s="2">
        <v>450</v>
      </c>
      <c r="W119" s="2">
        <v>65</v>
      </c>
      <c r="X119" s="48">
        <v>5.8000000000000003E-2</v>
      </c>
      <c r="Y119" s="2">
        <v>14400</v>
      </c>
      <c r="Z119" s="2">
        <v>1900</v>
      </c>
      <c r="AA119" s="18">
        <v>0.21</v>
      </c>
    </row>
    <row r="120" spans="1:36" x14ac:dyDescent="0.25">
      <c r="A120" s="2" t="s">
        <v>53</v>
      </c>
      <c r="B120" s="16">
        <v>13</v>
      </c>
      <c r="C120" s="2" t="s">
        <v>132</v>
      </c>
      <c r="D120" s="30">
        <v>44623</v>
      </c>
      <c r="E120" s="2">
        <v>467000</v>
      </c>
      <c r="F120" s="2">
        <v>43000</v>
      </c>
      <c r="G120" s="2">
        <v>400</v>
      </c>
      <c r="H120" s="2">
        <v>1200</v>
      </c>
      <c r="I120" s="2">
        <v>-1900</v>
      </c>
      <c r="J120" s="2">
        <v>6800</v>
      </c>
      <c r="K120" s="2">
        <v>130</v>
      </c>
      <c r="L120" s="2">
        <v>120</v>
      </c>
      <c r="M120" s="2">
        <v>417</v>
      </c>
      <c r="N120" s="2">
        <v>42</v>
      </c>
      <c r="O120" s="18">
        <v>4.2</v>
      </c>
      <c r="P120" s="2">
        <v>128</v>
      </c>
      <c r="Q120" s="2">
        <v>23</v>
      </c>
      <c r="R120" s="2">
        <v>29</v>
      </c>
      <c r="S120" s="31">
        <v>640000</v>
      </c>
      <c r="T120" s="2">
        <v>56000</v>
      </c>
      <c r="U120" s="18">
        <v>0.53</v>
      </c>
      <c r="V120" s="2">
        <v>363</v>
      </c>
      <c r="W120" s="2">
        <v>50</v>
      </c>
      <c r="X120" s="48">
        <v>6.8000000000000005E-2</v>
      </c>
      <c r="Y120" s="2">
        <v>13200</v>
      </c>
      <c r="Z120" s="2">
        <v>1700</v>
      </c>
      <c r="AA120" s="18">
        <v>0.11</v>
      </c>
    </row>
    <row r="121" spans="1:36" x14ac:dyDescent="0.25">
      <c r="A121" s="2" t="s">
        <v>53</v>
      </c>
      <c r="B121" s="16">
        <v>14</v>
      </c>
      <c r="C121" s="2" t="s">
        <v>133</v>
      </c>
      <c r="D121" s="30">
        <v>44623</v>
      </c>
      <c r="E121" s="2">
        <v>536000</v>
      </c>
      <c r="F121" s="2">
        <v>99000</v>
      </c>
      <c r="G121" s="2">
        <v>-2000</v>
      </c>
      <c r="H121" s="2">
        <v>1900</v>
      </c>
      <c r="I121" s="2">
        <v>30000</v>
      </c>
      <c r="J121" s="2">
        <v>13000</v>
      </c>
      <c r="K121" s="2">
        <v>-50</v>
      </c>
      <c r="L121" s="2">
        <v>160</v>
      </c>
      <c r="M121" s="2">
        <v>503</v>
      </c>
      <c r="N121" s="2">
        <v>70</v>
      </c>
      <c r="O121" s="18">
        <v>5.2</v>
      </c>
      <c r="P121" s="2">
        <v>139</v>
      </c>
      <c r="Q121" s="2">
        <v>25</v>
      </c>
      <c r="R121" s="2">
        <v>32</v>
      </c>
      <c r="S121" s="31">
        <v>770000</v>
      </c>
      <c r="T121" s="2">
        <v>180000</v>
      </c>
      <c r="U121" s="18">
        <v>0.74</v>
      </c>
      <c r="V121" s="2">
        <v>300</v>
      </c>
      <c r="W121" s="2">
        <v>62</v>
      </c>
      <c r="X121" s="48">
        <v>8.2000000000000003E-2</v>
      </c>
      <c r="Y121" s="2">
        <v>15900</v>
      </c>
      <c r="Z121" s="2">
        <v>3700</v>
      </c>
      <c r="AA121" s="18">
        <v>0.13</v>
      </c>
    </row>
    <row r="122" spans="1:36" s="19" customFormat="1" x14ac:dyDescent="0.25">
      <c r="A122" s="10" t="s">
        <v>54</v>
      </c>
      <c r="B122" s="13">
        <v>1</v>
      </c>
      <c r="C122" s="12"/>
      <c r="D122" s="43">
        <v>45180</v>
      </c>
      <c r="E122" s="12"/>
      <c r="F122" s="12"/>
      <c r="G122" s="12"/>
      <c r="H122" s="12"/>
      <c r="I122" s="12"/>
      <c r="J122" s="12"/>
      <c r="K122" s="12"/>
      <c r="L122" s="12"/>
      <c r="M122" s="44">
        <v>179.157780262242</v>
      </c>
      <c r="N122" s="44">
        <v>147.41161149092301</v>
      </c>
      <c r="O122" s="46">
        <v>49.398811270503799</v>
      </c>
      <c r="P122" s="12"/>
      <c r="Q122" s="12"/>
      <c r="R122" s="12"/>
      <c r="S122" s="27"/>
      <c r="T122" s="12"/>
      <c r="U122" s="15"/>
      <c r="V122" s="12"/>
      <c r="W122" s="12"/>
      <c r="X122" s="49"/>
      <c r="Y122" s="12"/>
      <c r="Z122" s="12"/>
      <c r="AA122" s="15"/>
      <c r="AH122" s="41"/>
      <c r="AI122" s="41"/>
      <c r="AJ122" s="41"/>
    </row>
    <row r="123" spans="1:36" s="19" customFormat="1" x14ac:dyDescent="0.25">
      <c r="A123" s="10" t="s">
        <v>54</v>
      </c>
      <c r="B123" s="13">
        <v>2</v>
      </c>
      <c r="C123" s="12"/>
      <c r="D123" s="43">
        <v>45180</v>
      </c>
      <c r="E123" s="12"/>
      <c r="F123" s="12"/>
      <c r="G123" s="12"/>
      <c r="H123" s="12"/>
      <c r="I123" s="12"/>
      <c r="J123" s="12"/>
      <c r="K123" s="12"/>
      <c r="L123" s="12"/>
      <c r="M123" s="44">
        <v>125.270918112172</v>
      </c>
      <c r="N123" s="44">
        <v>118.086987887841</v>
      </c>
      <c r="O123" s="46">
        <v>55.842270239693299</v>
      </c>
      <c r="P123" s="12"/>
      <c r="Q123" s="12"/>
      <c r="R123" s="12"/>
      <c r="S123" s="27"/>
      <c r="T123" s="12"/>
      <c r="U123" s="15"/>
      <c r="V123" s="12"/>
      <c r="W123" s="12"/>
      <c r="X123" s="49"/>
      <c r="Y123" s="12"/>
      <c r="Z123" s="12"/>
      <c r="AA123" s="15"/>
      <c r="AH123" s="41"/>
      <c r="AI123" s="41"/>
      <c r="AJ123" s="41"/>
    </row>
    <row r="124" spans="1:36" x14ac:dyDescent="0.25">
      <c r="A124" s="2" t="s">
        <v>55</v>
      </c>
      <c r="B124" s="16">
        <v>1</v>
      </c>
      <c r="C124" s="2" t="s">
        <v>118</v>
      </c>
      <c r="D124" s="30">
        <v>44623</v>
      </c>
      <c r="E124" s="2">
        <v>340000</v>
      </c>
      <c r="F124" s="2">
        <v>24000</v>
      </c>
      <c r="G124" s="2">
        <v>920</v>
      </c>
      <c r="H124" s="2">
        <v>900</v>
      </c>
      <c r="I124" s="2">
        <v>6000</v>
      </c>
      <c r="J124" s="2">
        <v>5500</v>
      </c>
      <c r="K124" s="2">
        <v>47</v>
      </c>
      <c r="L124" s="2">
        <v>90</v>
      </c>
      <c r="M124" s="2">
        <v>358</v>
      </c>
      <c r="N124" s="2">
        <v>31</v>
      </c>
      <c r="O124" s="18">
        <v>4.2</v>
      </c>
      <c r="P124" s="2">
        <v>382</v>
      </c>
      <c r="Q124" s="2">
        <v>29</v>
      </c>
      <c r="R124" s="2">
        <v>33</v>
      </c>
      <c r="S124" s="31">
        <v>533000</v>
      </c>
      <c r="T124" s="2">
        <v>33000</v>
      </c>
      <c r="U124" s="18">
        <v>0.65</v>
      </c>
      <c r="V124" s="2">
        <v>1090</v>
      </c>
      <c r="W124" s="2">
        <v>84</v>
      </c>
      <c r="X124" s="48">
        <v>0.04</v>
      </c>
      <c r="Y124" s="2">
        <v>11050</v>
      </c>
      <c r="Z124" s="2">
        <v>880</v>
      </c>
      <c r="AA124" s="18">
        <v>0.17</v>
      </c>
    </row>
    <row r="125" spans="1:36" x14ac:dyDescent="0.25">
      <c r="A125" s="2" t="s">
        <v>55</v>
      </c>
      <c r="B125" s="16">
        <v>2</v>
      </c>
      <c r="C125" s="2" t="s">
        <v>140</v>
      </c>
      <c r="D125" s="30">
        <v>44623</v>
      </c>
      <c r="E125" s="2">
        <v>286000</v>
      </c>
      <c r="F125" s="2">
        <v>17000</v>
      </c>
      <c r="G125" s="2">
        <v>460</v>
      </c>
      <c r="H125" s="2">
        <v>780</v>
      </c>
      <c r="I125" s="2">
        <v>3900</v>
      </c>
      <c r="J125" s="2">
        <v>3700</v>
      </c>
      <c r="K125" s="2">
        <v>-14</v>
      </c>
      <c r="L125" s="2">
        <v>73</v>
      </c>
      <c r="M125" s="2">
        <v>297</v>
      </c>
      <c r="N125" s="2">
        <v>23</v>
      </c>
      <c r="O125" s="18">
        <v>4.3</v>
      </c>
      <c r="P125" s="2">
        <v>391</v>
      </c>
      <c r="Q125" s="2">
        <v>29</v>
      </c>
      <c r="R125" s="2">
        <v>31</v>
      </c>
      <c r="S125" s="31">
        <v>481000</v>
      </c>
      <c r="T125" s="2">
        <v>35000</v>
      </c>
      <c r="U125" s="18">
        <v>0.67</v>
      </c>
      <c r="V125" s="2">
        <v>1038</v>
      </c>
      <c r="W125" s="2">
        <v>78</v>
      </c>
      <c r="X125" s="48">
        <v>7.4999999999999997E-2</v>
      </c>
      <c r="Y125" s="2">
        <v>9540</v>
      </c>
      <c r="Z125" s="2">
        <v>670</v>
      </c>
      <c r="AA125" s="18">
        <v>0.16</v>
      </c>
    </row>
    <row r="126" spans="1:36" x14ac:dyDescent="0.25">
      <c r="A126" s="2" t="s">
        <v>55</v>
      </c>
      <c r="B126" s="16">
        <v>3</v>
      </c>
      <c r="C126" s="2" t="s">
        <v>141</v>
      </c>
      <c r="D126" s="30">
        <v>44623</v>
      </c>
      <c r="E126" s="2">
        <v>297000</v>
      </c>
      <c r="F126" s="2">
        <v>19000</v>
      </c>
      <c r="G126" s="2">
        <v>-1380</v>
      </c>
      <c r="H126" s="2">
        <v>710</v>
      </c>
      <c r="I126" s="2">
        <v>3100</v>
      </c>
      <c r="J126" s="2">
        <v>3800</v>
      </c>
      <c r="K126" s="2">
        <v>33</v>
      </c>
      <c r="L126" s="2">
        <v>76</v>
      </c>
      <c r="M126" s="2">
        <v>296</v>
      </c>
      <c r="N126" s="2">
        <v>25</v>
      </c>
      <c r="O126" s="18">
        <v>4.0999999999999996</v>
      </c>
      <c r="P126" s="2">
        <v>369</v>
      </c>
      <c r="Q126" s="2">
        <v>28</v>
      </c>
      <c r="R126" s="2">
        <v>30</v>
      </c>
      <c r="S126" s="31">
        <v>496000</v>
      </c>
      <c r="T126" s="2">
        <v>37000</v>
      </c>
      <c r="U126" s="18">
        <v>0.7</v>
      </c>
      <c r="V126" s="2">
        <v>1133</v>
      </c>
      <c r="W126" s="2">
        <v>87</v>
      </c>
      <c r="X126" s="48">
        <v>6.8000000000000005E-2</v>
      </c>
      <c r="Y126" s="2">
        <v>9640</v>
      </c>
      <c r="Z126" s="2">
        <v>740</v>
      </c>
      <c r="AA126" s="18">
        <v>0.15</v>
      </c>
    </row>
    <row r="127" spans="1:36" x14ac:dyDescent="0.25">
      <c r="A127" s="2" t="s">
        <v>55</v>
      </c>
      <c r="B127" s="16">
        <v>4</v>
      </c>
      <c r="C127" s="2" t="s">
        <v>142</v>
      </c>
      <c r="D127" s="30">
        <v>44623</v>
      </c>
      <c r="E127" s="2">
        <v>353000</v>
      </c>
      <c r="F127" s="2">
        <v>23000</v>
      </c>
      <c r="G127" s="2">
        <v>-1320</v>
      </c>
      <c r="H127" s="2">
        <v>970</v>
      </c>
      <c r="I127" s="2">
        <v>4800</v>
      </c>
      <c r="J127" s="2">
        <v>4800</v>
      </c>
      <c r="K127" s="2">
        <v>27</v>
      </c>
      <c r="L127" s="2">
        <v>89</v>
      </c>
      <c r="M127" s="2">
        <v>349</v>
      </c>
      <c r="N127" s="2">
        <v>30</v>
      </c>
      <c r="O127" s="18">
        <v>3.9</v>
      </c>
      <c r="P127" s="2">
        <v>330</v>
      </c>
      <c r="Q127" s="2">
        <v>31</v>
      </c>
      <c r="R127" s="2">
        <v>30</v>
      </c>
      <c r="S127" s="31">
        <v>573000</v>
      </c>
      <c r="T127" s="2">
        <v>48000</v>
      </c>
      <c r="U127" s="18">
        <v>0.64</v>
      </c>
      <c r="V127" s="2">
        <v>1400</v>
      </c>
      <c r="W127" s="2">
        <v>140</v>
      </c>
      <c r="X127" s="48">
        <v>0.06</v>
      </c>
      <c r="Y127" s="2">
        <v>11600</v>
      </c>
      <c r="Z127" s="2">
        <v>1100</v>
      </c>
      <c r="AA127" s="18">
        <v>0.17</v>
      </c>
    </row>
    <row r="128" spans="1:36" x14ac:dyDescent="0.25">
      <c r="A128" s="2" t="s">
        <v>55</v>
      </c>
      <c r="B128" s="16">
        <v>5</v>
      </c>
      <c r="C128" s="2" t="s">
        <v>157</v>
      </c>
      <c r="D128" s="30">
        <v>44623</v>
      </c>
      <c r="E128" s="2">
        <v>293000</v>
      </c>
      <c r="F128" s="2">
        <v>18000</v>
      </c>
      <c r="G128" s="2">
        <v>-240</v>
      </c>
      <c r="H128" s="2">
        <v>800</v>
      </c>
      <c r="I128" s="2">
        <v>2200</v>
      </c>
      <c r="J128" s="2">
        <v>4200</v>
      </c>
      <c r="K128" s="2">
        <v>-2</v>
      </c>
      <c r="L128" s="2">
        <v>72</v>
      </c>
      <c r="M128" s="2">
        <v>298</v>
      </c>
      <c r="N128" s="2">
        <v>24</v>
      </c>
      <c r="O128" s="18">
        <v>4.2</v>
      </c>
      <c r="P128" s="2">
        <v>337</v>
      </c>
      <c r="Q128" s="2">
        <v>21</v>
      </c>
      <c r="R128" s="2">
        <v>34</v>
      </c>
      <c r="S128" s="31">
        <v>482000</v>
      </c>
      <c r="T128" s="2">
        <v>37000</v>
      </c>
      <c r="U128" s="18">
        <v>0.79</v>
      </c>
      <c r="V128" s="2">
        <v>1510</v>
      </c>
      <c r="W128" s="2">
        <v>150</v>
      </c>
      <c r="X128" s="48">
        <v>7.0000000000000007E-2</v>
      </c>
      <c r="Y128" s="2">
        <v>9480</v>
      </c>
      <c r="Z128" s="2">
        <v>660</v>
      </c>
      <c r="AA128" s="18">
        <v>0.24</v>
      </c>
    </row>
    <row r="129" spans="1:36" x14ac:dyDescent="0.25">
      <c r="A129" s="2" t="s">
        <v>55</v>
      </c>
      <c r="B129" s="16">
        <v>6</v>
      </c>
      <c r="C129" s="2" t="s">
        <v>143</v>
      </c>
      <c r="D129" s="30">
        <v>44623</v>
      </c>
      <c r="E129" s="2">
        <v>282000</v>
      </c>
      <c r="F129" s="2">
        <v>20000</v>
      </c>
      <c r="G129" s="2">
        <v>50</v>
      </c>
      <c r="H129" s="2">
        <v>700</v>
      </c>
      <c r="I129" s="2">
        <v>500</v>
      </c>
      <c r="J129" s="2">
        <v>3400</v>
      </c>
      <c r="K129" s="2">
        <v>-25</v>
      </c>
      <c r="L129" s="2">
        <v>55</v>
      </c>
      <c r="M129" s="2">
        <v>312</v>
      </c>
      <c r="N129" s="2">
        <v>22</v>
      </c>
      <c r="O129" s="18">
        <v>4</v>
      </c>
      <c r="P129" s="2">
        <v>320</v>
      </c>
      <c r="Q129" s="2">
        <v>23</v>
      </c>
      <c r="R129" s="2">
        <v>32</v>
      </c>
      <c r="S129" s="31">
        <v>500000</v>
      </c>
      <c r="T129" s="2">
        <v>38000</v>
      </c>
      <c r="U129" s="18">
        <v>0.48</v>
      </c>
      <c r="V129" s="2">
        <v>1380</v>
      </c>
      <c r="W129" s="2">
        <v>140</v>
      </c>
      <c r="X129" s="48">
        <v>7.0999999999999994E-2</v>
      </c>
      <c r="Y129" s="2">
        <v>9900</v>
      </c>
      <c r="Z129" s="2">
        <v>670</v>
      </c>
      <c r="AA129" s="18">
        <v>0.25</v>
      </c>
    </row>
    <row r="130" spans="1:36" x14ac:dyDescent="0.25">
      <c r="A130" s="2" t="s">
        <v>55</v>
      </c>
      <c r="B130" s="16">
        <v>7</v>
      </c>
      <c r="C130" s="2" t="s">
        <v>158</v>
      </c>
      <c r="D130" s="30">
        <v>44623</v>
      </c>
      <c r="E130" s="2">
        <v>376000</v>
      </c>
      <c r="F130" s="2">
        <v>27000</v>
      </c>
      <c r="G130" s="2">
        <v>200</v>
      </c>
      <c r="H130" s="2">
        <v>1000</v>
      </c>
      <c r="I130" s="2">
        <v>5700</v>
      </c>
      <c r="J130" s="2">
        <v>7000</v>
      </c>
      <c r="K130" s="2">
        <v>10</v>
      </c>
      <c r="L130" s="2">
        <v>110</v>
      </c>
      <c r="M130" s="2">
        <v>426</v>
      </c>
      <c r="N130" s="2">
        <v>33</v>
      </c>
      <c r="O130" s="18">
        <v>4.0999999999999996</v>
      </c>
      <c r="P130" s="2">
        <v>318</v>
      </c>
      <c r="Q130" s="2">
        <v>36</v>
      </c>
      <c r="R130" s="2">
        <v>32</v>
      </c>
      <c r="S130" s="31">
        <v>646000</v>
      </c>
      <c r="T130" s="2">
        <v>59000</v>
      </c>
      <c r="U130" s="18"/>
      <c r="V130" s="2">
        <v>1700</v>
      </c>
      <c r="W130" s="2">
        <v>180</v>
      </c>
      <c r="X130" s="48">
        <v>8.1000000000000003E-2</v>
      </c>
      <c r="Y130" s="2">
        <v>12300</v>
      </c>
      <c r="Z130" s="2">
        <v>1000</v>
      </c>
      <c r="AA130" s="18">
        <v>0.2</v>
      </c>
    </row>
    <row r="131" spans="1:36" x14ac:dyDescent="0.25">
      <c r="A131" s="2" t="s">
        <v>55</v>
      </c>
      <c r="B131" s="16">
        <v>8</v>
      </c>
      <c r="C131" s="2" t="s">
        <v>144</v>
      </c>
      <c r="D131" s="30">
        <v>44623</v>
      </c>
      <c r="E131" s="2">
        <v>185000</v>
      </c>
      <c r="F131" s="2">
        <v>38000</v>
      </c>
      <c r="G131" s="2">
        <v>1600</v>
      </c>
      <c r="H131" s="2">
        <v>3200</v>
      </c>
      <c r="I131" s="2">
        <v>21800</v>
      </c>
      <c r="J131" s="2">
        <v>8700</v>
      </c>
      <c r="K131" s="2">
        <v>220</v>
      </c>
      <c r="L131" s="2">
        <v>600</v>
      </c>
      <c r="M131" s="2">
        <v>620</v>
      </c>
      <c r="N131" s="2">
        <v>120</v>
      </c>
      <c r="O131" s="18">
        <v>20</v>
      </c>
      <c r="P131" s="2">
        <v>440</v>
      </c>
      <c r="Q131" s="2">
        <v>260</v>
      </c>
      <c r="R131" s="2">
        <v>140</v>
      </c>
      <c r="S131" s="31">
        <v>860000</v>
      </c>
      <c r="T131" s="2">
        <v>290000</v>
      </c>
      <c r="U131" s="18">
        <v>2.7</v>
      </c>
      <c r="V131" s="2">
        <v>1530</v>
      </c>
      <c r="W131" s="2">
        <v>460</v>
      </c>
      <c r="X131" s="48">
        <v>0.42</v>
      </c>
      <c r="Y131" s="2">
        <v>19600</v>
      </c>
      <c r="Z131" s="2">
        <v>5600</v>
      </c>
      <c r="AA131" s="18">
        <v>0.83</v>
      </c>
    </row>
    <row r="132" spans="1:36" x14ac:dyDescent="0.25">
      <c r="A132" s="2" t="s">
        <v>55</v>
      </c>
      <c r="B132" s="16">
        <v>9</v>
      </c>
      <c r="C132" s="2" t="s">
        <v>145</v>
      </c>
      <c r="D132" s="30">
        <v>44623</v>
      </c>
      <c r="E132" s="2">
        <v>230000</v>
      </c>
      <c r="F132" s="2">
        <v>18000</v>
      </c>
      <c r="G132" s="2">
        <v>100</v>
      </c>
      <c r="H132" s="2">
        <v>2200</v>
      </c>
      <c r="I132" s="2">
        <v>7400</v>
      </c>
      <c r="J132" s="2">
        <v>8500</v>
      </c>
      <c r="K132" s="2">
        <v>70</v>
      </c>
      <c r="L132" s="2">
        <v>170</v>
      </c>
      <c r="M132" s="2">
        <v>485</v>
      </c>
      <c r="N132" s="2">
        <v>46</v>
      </c>
      <c r="O132" s="18">
        <v>9</v>
      </c>
      <c r="P132" s="2">
        <v>312</v>
      </c>
      <c r="Q132" s="2">
        <v>56</v>
      </c>
      <c r="R132" s="2">
        <v>77</v>
      </c>
      <c r="S132" s="31">
        <v>761000</v>
      </c>
      <c r="T132" s="2">
        <v>56000</v>
      </c>
      <c r="U132" s="18">
        <v>0.98</v>
      </c>
      <c r="V132" s="2">
        <v>1240</v>
      </c>
      <c r="W132" s="2">
        <v>100</v>
      </c>
      <c r="X132" s="48">
        <v>0.26</v>
      </c>
      <c r="Y132" s="2">
        <v>14900</v>
      </c>
      <c r="Z132" s="2">
        <v>1700</v>
      </c>
      <c r="AA132" s="18">
        <v>0.59</v>
      </c>
    </row>
    <row r="133" spans="1:36" x14ac:dyDescent="0.25">
      <c r="A133" s="2" t="s">
        <v>55</v>
      </c>
      <c r="B133" s="16">
        <v>10</v>
      </c>
      <c r="C133" s="2" t="s">
        <v>147</v>
      </c>
      <c r="D133" s="30">
        <v>44623</v>
      </c>
      <c r="E133" s="2">
        <v>218000</v>
      </c>
      <c r="F133" s="2">
        <v>14000</v>
      </c>
      <c r="G133" s="2">
        <v>1000</v>
      </c>
      <c r="H133" s="2">
        <v>1100</v>
      </c>
      <c r="I133" s="2">
        <v>-3500</v>
      </c>
      <c r="J133" s="2">
        <v>5600</v>
      </c>
      <c r="K133" s="2">
        <v>20</v>
      </c>
      <c r="L133" s="2">
        <v>110</v>
      </c>
      <c r="M133" s="2">
        <v>433</v>
      </c>
      <c r="N133" s="2">
        <v>37</v>
      </c>
      <c r="O133" s="18">
        <v>8.4</v>
      </c>
      <c r="P133" s="2">
        <v>305</v>
      </c>
      <c r="Q133" s="2">
        <v>38</v>
      </c>
      <c r="R133" s="2">
        <v>56</v>
      </c>
      <c r="S133" s="31">
        <v>661000</v>
      </c>
      <c r="T133" s="2">
        <v>50000</v>
      </c>
      <c r="U133" s="18">
        <v>0.9</v>
      </c>
      <c r="V133" s="2">
        <v>1420</v>
      </c>
      <c r="W133" s="2">
        <v>110</v>
      </c>
      <c r="X133" s="48">
        <v>0.17</v>
      </c>
      <c r="Y133" s="2">
        <v>13200</v>
      </c>
      <c r="Z133" s="2">
        <v>1000</v>
      </c>
      <c r="AA133" s="18">
        <v>0.39</v>
      </c>
    </row>
    <row r="134" spans="1:36" x14ac:dyDescent="0.25">
      <c r="A134" s="2" t="s">
        <v>55</v>
      </c>
      <c r="B134" s="16">
        <v>11</v>
      </c>
      <c r="C134" s="2" t="s">
        <v>148</v>
      </c>
      <c r="D134" s="30">
        <v>44623</v>
      </c>
      <c r="E134" s="2">
        <v>200000</v>
      </c>
      <c r="F134" s="2">
        <v>12000</v>
      </c>
      <c r="G134" s="2">
        <v>600</v>
      </c>
      <c r="H134" s="2">
        <v>1100</v>
      </c>
      <c r="I134" s="2">
        <v>4800</v>
      </c>
      <c r="J134" s="2">
        <v>6200</v>
      </c>
      <c r="K134" s="2">
        <v>69</v>
      </c>
      <c r="L134" s="2">
        <v>94</v>
      </c>
      <c r="M134" s="2">
        <v>432</v>
      </c>
      <c r="N134" s="2">
        <v>55</v>
      </c>
      <c r="O134" s="18">
        <v>8.6999999999999993</v>
      </c>
      <c r="P134" s="2">
        <v>277</v>
      </c>
      <c r="Q134" s="2">
        <v>33</v>
      </c>
      <c r="R134" s="2">
        <v>64</v>
      </c>
      <c r="S134" s="31">
        <v>648000</v>
      </c>
      <c r="T134" s="2">
        <v>43000</v>
      </c>
      <c r="U134" s="18">
        <v>1.2</v>
      </c>
      <c r="V134" s="2">
        <v>1406</v>
      </c>
      <c r="W134" s="2">
        <v>82</v>
      </c>
      <c r="X134" s="48">
        <v>0.11</v>
      </c>
      <c r="Y134" s="2">
        <v>13200</v>
      </c>
      <c r="Z134" s="2">
        <v>1000</v>
      </c>
      <c r="AA134" s="18">
        <v>0.41</v>
      </c>
    </row>
    <row r="135" spans="1:36" x14ac:dyDescent="0.25">
      <c r="A135" s="2" t="s">
        <v>55</v>
      </c>
      <c r="B135" s="16">
        <v>12</v>
      </c>
      <c r="C135" s="2" t="s">
        <v>149</v>
      </c>
      <c r="D135" s="30">
        <v>44623</v>
      </c>
      <c r="E135" s="2">
        <v>172100</v>
      </c>
      <c r="F135" s="2">
        <v>8500</v>
      </c>
      <c r="G135" s="2">
        <v>320</v>
      </c>
      <c r="H135" s="2">
        <v>950</v>
      </c>
      <c r="I135" s="2">
        <v>2100</v>
      </c>
      <c r="J135" s="2">
        <v>3500</v>
      </c>
      <c r="K135" s="2">
        <v>29</v>
      </c>
      <c r="L135" s="2">
        <v>73</v>
      </c>
      <c r="M135" s="2">
        <v>337</v>
      </c>
      <c r="N135" s="2">
        <v>28</v>
      </c>
      <c r="O135" s="18">
        <v>7.2</v>
      </c>
      <c r="P135" s="2">
        <v>295</v>
      </c>
      <c r="Q135" s="2">
        <v>37</v>
      </c>
      <c r="R135" s="2">
        <v>60</v>
      </c>
      <c r="S135" s="31">
        <v>543000</v>
      </c>
      <c r="T135" s="2">
        <v>35000</v>
      </c>
      <c r="U135" s="18">
        <v>1</v>
      </c>
      <c r="V135" s="2">
        <v>1370</v>
      </c>
      <c r="W135" s="2">
        <v>64</v>
      </c>
      <c r="X135" s="48">
        <v>0.13</v>
      </c>
      <c r="Y135" s="2">
        <v>10800</v>
      </c>
      <c r="Z135" s="2">
        <v>620</v>
      </c>
      <c r="AA135" s="18">
        <v>0.32</v>
      </c>
    </row>
    <row r="136" spans="1:36" s="19" customFormat="1" x14ac:dyDescent="0.25">
      <c r="A136" s="12" t="s">
        <v>56</v>
      </c>
      <c r="B136" s="13">
        <v>1</v>
      </c>
      <c r="C136" s="12" t="s">
        <v>164</v>
      </c>
      <c r="D136" s="29">
        <v>44623</v>
      </c>
      <c r="E136" s="12">
        <v>345000</v>
      </c>
      <c r="F136" s="12">
        <v>49000</v>
      </c>
      <c r="G136" s="12">
        <v>-2200</v>
      </c>
      <c r="H136" s="12">
        <v>2400</v>
      </c>
      <c r="I136" s="12">
        <v>20000</v>
      </c>
      <c r="J136" s="12">
        <v>15000</v>
      </c>
      <c r="K136" s="12">
        <v>-80</v>
      </c>
      <c r="L136" s="12">
        <v>160</v>
      </c>
      <c r="M136" s="12">
        <v>583</v>
      </c>
      <c r="N136" s="12">
        <v>96</v>
      </c>
      <c r="O136" s="15">
        <v>7.2</v>
      </c>
      <c r="P136" s="12">
        <v>77</v>
      </c>
      <c r="Q136" s="12">
        <v>37</v>
      </c>
      <c r="R136" s="12">
        <v>50</v>
      </c>
      <c r="S136" s="27">
        <v>690000</v>
      </c>
      <c r="T136" s="12">
        <v>130000</v>
      </c>
      <c r="U136" s="15">
        <v>1</v>
      </c>
      <c r="V136" s="12">
        <v>1020</v>
      </c>
      <c r="W136" s="12">
        <v>220</v>
      </c>
      <c r="X136" s="49">
        <v>8.4000000000000005E-2</v>
      </c>
      <c r="Y136" s="12">
        <v>14200</v>
      </c>
      <c r="Z136" s="12">
        <v>2500</v>
      </c>
      <c r="AA136" s="15">
        <v>0.23</v>
      </c>
      <c r="AH136" s="41"/>
      <c r="AI136" s="41"/>
      <c r="AJ136" s="41"/>
    </row>
    <row r="137" spans="1:36" s="19" customFormat="1" x14ac:dyDescent="0.25">
      <c r="A137" s="12" t="s">
        <v>56</v>
      </c>
      <c r="B137" s="13">
        <v>2</v>
      </c>
      <c r="C137" s="12" t="s">
        <v>151</v>
      </c>
      <c r="D137" s="29">
        <v>44623</v>
      </c>
      <c r="E137" s="12">
        <v>410000</v>
      </c>
      <c r="F137" s="12">
        <v>47000</v>
      </c>
      <c r="G137" s="12">
        <v>-1400</v>
      </c>
      <c r="H137" s="12">
        <v>2800</v>
      </c>
      <c r="I137" s="12">
        <v>-60000</v>
      </c>
      <c r="J137" s="12">
        <v>10000</v>
      </c>
      <c r="K137" s="12">
        <v>130</v>
      </c>
      <c r="L137" s="12">
        <v>270</v>
      </c>
      <c r="M137" s="12">
        <v>670</v>
      </c>
      <c r="N137" s="12">
        <v>140</v>
      </c>
      <c r="O137" s="15">
        <v>7</v>
      </c>
      <c r="P137" s="12">
        <v>79</v>
      </c>
      <c r="Q137" s="12">
        <v>37</v>
      </c>
      <c r="R137" s="12">
        <v>43</v>
      </c>
      <c r="S137" s="27">
        <v>640000</v>
      </c>
      <c r="T137" s="12">
        <v>140000</v>
      </c>
      <c r="U137" s="15">
        <v>0.96</v>
      </c>
      <c r="V137" s="12">
        <v>1380</v>
      </c>
      <c r="W137" s="12">
        <v>380</v>
      </c>
      <c r="X137" s="49">
        <v>0.13</v>
      </c>
      <c r="Y137" s="12">
        <v>14400</v>
      </c>
      <c r="Z137" s="12">
        <v>3600</v>
      </c>
      <c r="AA137" s="15">
        <v>0.33</v>
      </c>
      <c r="AH137" s="41"/>
      <c r="AI137" s="41"/>
      <c r="AJ137" s="41"/>
    </row>
    <row r="138" spans="1:36" s="19" customFormat="1" x14ac:dyDescent="0.25">
      <c r="A138" s="12" t="s">
        <v>56</v>
      </c>
      <c r="B138" s="13">
        <v>3</v>
      </c>
      <c r="C138" s="12" t="s">
        <v>165</v>
      </c>
      <c r="D138" s="29">
        <v>44623</v>
      </c>
      <c r="E138" s="12">
        <v>435000</v>
      </c>
      <c r="F138" s="12">
        <v>81000</v>
      </c>
      <c r="G138" s="12">
        <v>-400</v>
      </c>
      <c r="H138" s="12">
        <v>3400</v>
      </c>
      <c r="I138" s="12">
        <v>-20000</v>
      </c>
      <c r="J138" s="12">
        <v>13000</v>
      </c>
      <c r="K138" s="12">
        <v>170</v>
      </c>
      <c r="L138" s="12">
        <v>320</v>
      </c>
      <c r="M138" s="12">
        <v>576</v>
      </c>
      <c r="N138" s="12">
        <v>96</v>
      </c>
      <c r="O138" s="15">
        <v>7.4</v>
      </c>
      <c r="P138" s="12">
        <v>65</v>
      </c>
      <c r="Q138" s="12">
        <v>21</v>
      </c>
      <c r="R138" s="12">
        <v>48</v>
      </c>
      <c r="S138" s="27">
        <v>645000</v>
      </c>
      <c r="T138" s="12">
        <v>99000</v>
      </c>
      <c r="U138" s="15">
        <v>1.1000000000000001</v>
      </c>
      <c r="V138" s="12">
        <v>1160</v>
      </c>
      <c r="W138" s="12">
        <v>380</v>
      </c>
      <c r="X138" s="49">
        <v>0.14000000000000001</v>
      </c>
      <c r="Y138" s="12">
        <v>15700</v>
      </c>
      <c r="Z138" s="12">
        <v>3200</v>
      </c>
      <c r="AA138" s="15">
        <v>0.28999999999999998</v>
      </c>
      <c r="AH138" s="41"/>
      <c r="AI138" s="41"/>
      <c r="AJ138" s="41"/>
    </row>
    <row r="139" spans="1:36" s="19" customFormat="1" x14ac:dyDescent="0.25">
      <c r="A139" s="12" t="s">
        <v>56</v>
      </c>
      <c r="B139" s="13">
        <v>5</v>
      </c>
      <c r="C139" s="12" t="s">
        <v>153</v>
      </c>
      <c r="D139" s="29">
        <v>44623</v>
      </c>
      <c r="E139" s="12">
        <v>348000</v>
      </c>
      <c r="F139" s="12">
        <v>29000</v>
      </c>
      <c r="G139" s="12">
        <v>700</v>
      </c>
      <c r="H139" s="12">
        <v>1300</v>
      </c>
      <c r="I139" s="12">
        <v>2000</v>
      </c>
      <c r="J139" s="12">
        <v>7400</v>
      </c>
      <c r="K139" s="12">
        <v>-20</v>
      </c>
      <c r="L139" s="12">
        <v>130</v>
      </c>
      <c r="M139" s="12">
        <v>607</v>
      </c>
      <c r="N139" s="12">
        <v>54</v>
      </c>
      <c r="O139" s="15">
        <v>6.2</v>
      </c>
      <c r="P139" s="12">
        <v>76</v>
      </c>
      <c r="Q139" s="12">
        <v>28</v>
      </c>
      <c r="R139" s="12">
        <v>46</v>
      </c>
      <c r="S139" s="27">
        <v>640000</v>
      </c>
      <c r="T139" s="12">
        <v>62000</v>
      </c>
      <c r="U139" s="15">
        <v>0.84</v>
      </c>
      <c r="V139" s="12">
        <v>836</v>
      </c>
      <c r="W139" s="12">
        <v>68</v>
      </c>
      <c r="X139" s="49">
        <v>0.14000000000000001</v>
      </c>
      <c r="Y139" s="12">
        <v>12700</v>
      </c>
      <c r="Z139" s="12">
        <v>1200</v>
      </c>
      <c r="AA139" s="15">
        <v>0.17</v>
      </c>
      <c r="AH139" s="41"/>
      <c r="AI139" s="41"/>
      <c r="AJ139" s="41"/>
    </row>
    <row r="140" spans="1:36" s="19" customFormat="1" x14ac:dyDescent="0.25">
      <c r="A140" s="12" t="s">
        <v>56</v>
      </c>
      <c r="B140" s="13">
        <v>6</v>
      </c>
      <c r="C140" s="12" t="s">
        <v>166</v>
      </c>
      <c r="D140" s="29">
        <v>44623</v>
      </c>
      <c r="E140" s="12">
        <v>358000</v>
      </c>
      <c r="F140" s="12">
        <v>37000</v>
      </c>
      <c r="G140" s="12">
        <v>-100</v>
      </c>
      <c r="H140" s="12">
        <v>1800</v>
      </c>
      <c r="I140" s="12">
        <v>2700</v>
      </c>
      <c r="J140" s="12">
        <v>6100</v>
      </c>
      <c r="K140" s="12">
        <v>40</v>
      </c>
      <c r="L140" s="12">
        <v>150</v>
      </c>
      <c r="M140" s="12">
        <v>576</v>
      </c>
      <c r="N140" s="12">
        <v>57</v>
      </c>
      <c r="O140" s="15">
        <v>6</v>
      </c>
      <c r="P140" s="12">
        <v>104</v>
      </c>
      <c r="Q140" s="12">
        <v>33</v>
      </c>
      <c r="R140" s="12">
        <v>37</v>
      </c>
      <c r="S140" s="27">
        <v>659000</v>
      </c>
      <c r="T140" s="12">
        <v>62000</v>
      </c>
      <c r="U140" s="15">
        <v>0.7</v>
      </c>
      <c r="V140" s="12">
        <v>1070</v>
      </c>
      <c r="W140" s="12">
        <v>120</v>
      </c>
      <c r="X140" s="49">
        <v>0.15</v>
      </c>
      <c r="Y140" s="12">
        <v>11500</v>
      </c>
      <c r="Z140" s="12">
        <v>1200</v>
      </c>
      <c r="AA140" s="15">
        <v>0.25</v>
      </c>
      <c r="AH140" s="41"/>
      <c r="AI140" s="41"/>
      <c r="AJ140" s="41"/>
    </row>
    <row r="141" spans="1:36" s="19" customFormat="1" x14ac:dyDescent="0.25">
      <c r="A141" s="12" t="s">
        <v>56</v>
      </c>
      <c r="B141" s="13">
        <v>7</v>
      </c>
      <c r="C141" s="12" t="s">
        <v>154</v>
      </c>
      <c r="D141" s="29">
        <v>44623</v>
      </c>
      <c r="E141" s="12">
        <v>230000</v>
      </c>
      <c r="F141" s="12">
        <v>15000</v>
      </c>
      <c r="G141" s="12">
        <v>560</v>
      </c>
      <c r="H141" s="12">
        <v>760</v>
      </c>
      <c r="I141" s="12">
        <v>6700</v>
      </c>
      <c r="J141" s="12">
        <v>3600</v>
      </c>
      <c r="K141" s="12">
        <v>55</v>
      </c>
      <c r="L141" s="12">
        <v>66</v>
      </c>
      <c r="M141" s="12">
        <v>541</v>
      </c>
      <c r="N141" s="12">
        <v>55</v>
      </c>
      <c r="O141" s="15">
        <v>6.5</v>
      </c>
      <c r="P141" s="12">
        <v>88</v>
      </c>
      <c r="Q141" s="12">
        <v>28</v>
      </c>
      <c r="R141" s="12">
        <v>39</v>
      </c>
      <c r="S141" s="27">
        <v>458000</v>
      </c>
      <c r="T141" s="12">
        <v>31000</v>
      </c>
      <c r="U141" s="15">
        <v>0.54</v>
      </c>
      <c r="V141" s="12">
        <v>902</v>
      </c>
      <c r="W141" s="12">
        <v>70</v>
      </c>
      <c r="X141" s="49">
        <v>0.11</v>
      </c>
      <c r="Y141" s="12">
        <v>9070</v>
      </c>
      <c r="Z141" s="12">
        <v>650</v>
      </c>
      <c r="AA141" s="15">
        <v>9.6000000000000002E-2</v>
      </c>
      <c r="AH141" s="41"/>
      <c r="AI141" s="41"/>
      <c r="AJ141" s="41"/>
    </row>
    <row r="142" spans="1:36" s="19" customFormat="1" x14ac:dyDescent="0.25">
      <c r="A142" s="12" t="s">
        <v>56</v>
      </c>
      <c r="B142" s="13">
        <v>8</v>
      </c>
      <c r="C142" s="12" t="s">
        <v>167</v>
      </c>
      <c r="D142" s="29">
        <v>44623</v>
      </c>
      <c r="E142" s="12">
        <v>347000</v>
      </c>
      <c r="F142" s="12">
        <v>47000</v>
      </c>
      <c r="G142" s="12">
        <v>-1200</v>
      </c>
      <c r="H142" s="12">
        <v>3500</v>
      </c>
      <c r="I142" s="12">
        <v>-70000</v>
      </c>
      <c r="J142" s="12">
        <v>11000</v>
      </c>
      <c r="K142" s="12">
        <v>110</v>
      </c>
      <c r="L142" s="12">
        <v>170</v>
      </c>
      <c r="M142" s="12">
        <v>607</v>
      </c>
      <c r="N142" s="12">
        <v>88</v>
      </c>
      <c r="O142" s="15">
        <v>9.3000000000000007</v>
      </c>
      <c r="P142" s="12">
        <v>57</v>
      </c>
      <c r="Q142" s="12">
        <v>39</v>
      </c>
      <c r="R142" s="12">
        <v>52</v>
      </c>
      <c r="S142" s="27">
        <v>680000</v>
      </c>
      <c r="T142" s="12">
        <v>110000</v>
      </c>
      <c r="U142" s="15">
        <v>1.6</v>
      </c>
      <c r="V142" s="12">
        <v>990</v>
      </c>
      <c r="W142" s="12">
        <v>200</v>
      </c>
      <c r="X142" s="49">
        <v>0.12</v>
      </c>
      <c r="Y142" s="12">
        <v>13300</v>
      </c>
      <c r="Z142" s="12">
        <v>2300</v>
      </c>
      <c r="AA142" s="15">
        <v>0.31</v>
      </c>
      <c r="AH142" s="41"/>
      <c r="AI142" s="41"/>
      <c r="AJ142" s="41"/>
    </row>
    <row r="143" spans="1:36" s="19" customFormat="1" x14ac:dyDescent="0.25">
      <c r="A143" s="12" t="s">
        <v>56</v>
      </c>
      <c r="B143" s="13">
        <v>9</v>
      </c>
      <c r="C143" s="12" t="s">
        <v>155</v>
      </c>
      <c r="D143" s="29">
        <v>44623</v>
      </c>
      <c r="E143" s="12">
        <v>261000</v>
      </c>
      <c r="F143" s="12">
        <v>17000</v>
      </c>
      <c r="G143" s="12">
        <v>70</v>
      </c>
      <c r="H143" s="12">
        <v>870</v>
      </c>
      <c r="I143" s="12">
        <v>-2200</v>
      </c>
      <c r="J143" s="12">
        <v>3600</v>
      </c>
      <c r="K143" s="12">
        <v>17</v>
      </c>
      <c r="L143" s="12">
        <v>67</v>
      </c>
      <c r="M143" s="12">
        <v>520</v>
      </c>
      <c r="N143" s="12">
        <v>41</v>
      </c>
      <c r="O143" s="15">
        <v>6.1</v>
      </c>
      <c r="P143" s="12">
        <v>78</v>
      </c>
      <c r="Q143" s="12">
        <v>19</v>
      </c>
      <c r="R143" s="12">
        <v>36</v>
      </c>
      <c r="S143" s="27">
        <v>531000</v>
      </c>
      <c r="T143" s="12">
        <v>37000</v>
      </c>
      <c r="U143" s="15">
        <v>0.68</v>
      </c>
      <c r="V143" s="12">
        <v>845</v>
      </c>
      <c r="W143" s="12">
        <v>64</v>
      </c>
      <c r="X143" s="49">
        <v>8.7999999999999995E-2</v>
      </c>
      <c r="Y143" s="12">
        <v>10040</v>
      </c>
      <c r="Z143" s="12">
        <v>740</v>
      </c>
      <c r="AA143" s="15">
        <v>0.18</v>
      </c>
      <c r="AH143" s="41"/>
      <c r="AI143" s="41"/>
      <c r="AJ143" s="41"/>
    </row>
    <row r="144" spans="1:36" s="19" customFormat="1" x14ac:dyDescent="0.25">
      <c r="A144" s="12" t="s">
        <v>56</v>
      </c>
      <c r="B144" s="13">
        <v>10</v>
      </c>
      <c r="C144" s="12" t="s">
        <v>156</v>
      </c>
      <c r="D144" s="29">
        <v>44623</v>
      </c>
      <c r="E144" s="12">
        <v>336000</v>
      </c>
      <c r="F144" s="12">
        <v>25000</v>
      </c>
      <c r="G144" s="12">
        <v>-300</v>
      </c>
      <c r="H144" s="12">
        <v>1500</v>
      </c>
      <c r="I144" s="12">
        <v>2700</v>
      </c>
      <c r="J144" s="12">
        <v>6600</v>
      </c>
      <c r="K144" s="12">
        <v>70</v>
      </c>
      <c r="L144" s="12">
        <v>120</v>
      </c>
      <c r="M144" s="12">
        <v>566</v>
      </c>
      <c r="N144" s="12">
        <v>43</v>
      </c>
      <c r="O144" s="15">
        <v>6.5</v>
      </c>
      <c r="P144" s="12">
        <v>74</v>
      </c>
      <c r="Q144" s="12">
        <v>28</v>
      </c>
      <c r="R144" s="12">
        <v>40</v>
      </c>
      <c r="S144" s="27">
        <v>584000</v>
      </c>
      <c r="T144" s="12">
        <v>38000</v>
      </c>
      <c r="U144" s="15">
        <v>0.66</v>
      </c>
      <c r="V144" s="12">
        <v>770</v>
      </c>
      <c r="W144" s="12">
        <v>110</v>
      </c>
      <c r="X144" s="49">
        <v>8.3000000000000004E-2</v>
      </c>
      <c r="Y144" s="12">
        <v>12600</v>
      </c>
      <c r="Z144" s="12">
        <v>1300</v>
      </c>
      <c r="AA144" s="15">
        <v>0.14000000000000001</v>
      </c>
      <c r="AH144" s="41"/>
      <c r="AI144" s="41"/>
      <c r="AJ144" s="41"/>
    </row>
    <row r="145" spans="1:36" s="19" customFormat="1" x14ac:dyDescent="0.25">
      <c r="A145" s="12" t="s">
        <v>56</v>
      </c>
      <c r="B145" s="13">
        <v>11</v>
      </c>
      <c r="C145" s="12" t="s">
        <v>168</v>
      </c>
      <c r="D145" s="29">
        <v>44623</v>
      </c>
      <c r="E145" s="12">
        <v>340000</v>
      </c>
      <c r="F145" s="12">
        <v>100000</v>
      </c>
      <c r="G145" s="12">
        <v>-1900</v>
      </c>
      <c r="H145" s="12">
        <v>2000</v>
      </c>
      <c r="I145" s="12">
        <v>11000</v>
      </c>
      <c r="J145" s="12">
        <v>12000</v>
      </c>
      <c r="K145" s="12">
        <v>260</v>
      </c>
      <c r="L145" s="12">
        <v>250</v>
      </c>
      <c r="M145" s="12">
        <v>660</v>
      </c>
      <c r="N145" s="12">
        <v>190</v>
      </c>
      <c r="O145" s="15">
        <v>9.6999999999999993</v>
      </c>
      <c r="P145" s="12">
        <v>65</v>
      </c>
      <c r="Q145" s="12">
        <v>19</v>
      </c>
      <c r="R145" s="12">
        <v>58</v>
      </c>
      <c r="S145" s="27">
        <v>580000</v>
      </c>
      <c r="T145" s="12">
        <v>170000</v>
      </c>
      <c r="U145" s="15">
        <v>1.1000000000000001</v>
      </c>
      <c r="V145" s="12">
        <v>1250</v>
      </c>
      <c r="W145" s="12">
        <v>330</v>
      </c>
      <c r="X145" s="49">
        <v>0.15</v>
      </c>
      <c r="Y145" s="12">
        <v>12900</v>
      </c>
      <c r="Z145" s="12">
        <v>4200</v>
      </c>
      <c r="AA145" s="15">
        <v>0.23</v>
      </c>
      <c r="AH145" s="41"/>
      <c r="AI145" s="41"/>
      <c r="AJ145" s="41"/>
    </row>
    <row r="146" spans="1:36" s="19" customFormat="1" x14ac:dyDescent="0.25">
      <c r="A146" s="12" t="s">
        <v>56</v>
      </c>
      <c r="B146" s="13">
        <v>12</v>
      </c>
      <c r="C146" s="12" t="s">
        <v>169</v>
      </c>
      <c r="D146" s="29">
        <v>44623</v>
      </c>
      <c r="E146" s="12">
        <v>284000</v>
      </c>
      <c r="F146" s="12">
        <v>20000</v>
      </c>
      <c r="G146" s="12">
        <v>-450</v>
      </c>
      <c r="H146" s="12">
        <v>980</v>
      </c>
      <c r="I146" s="12">
        <v>2100</v>
      </c>
      <c r="J146" s="12">
        <v>4300</v>
      </c>
      <c r="K146" s="12">
        <v>-34</v>
      </c>
      <c r="L146" s="12">
        <v>74</v>
      </c>
      <c r="M146" s="12">
        <v>546</v>
      </c>
      <c r="N146" s="12">
        <v>35</v>
      </c>
      <c r="O146" s="15">
        <v>7</v>
      </c>
      <c r="P146" s="12">
        <v>82</v>
      </c>
      <c r="Q146" s="12">
        <v>23</v>
      </c>
      <c r="R146" s="12">
        <v>37</v>
      </c>
      <c r="S146" s="27">
        <v>593000</v>
      </c>
      <c r="T146" s="12">
        <v>40000</v>
      </c>
      <c r="U146" s="15">
        <v>0.99</v>
      </c>
      <c r="V146" s="12">
        <v>1101</v>
      </c>
      <c r="W146" s="12">
        <v>96</v>
      </c>
      <c r="X146" s="49">
        <v>0.11</v>
      </c>
      <c r="Y146" s="12">
        <v>10830</v>
      </c>
      <c r="Z146" s="12">
        <v>700</v>
      </c>
      <c r="AA146" s="15">
        <v>0.15</v>
      </c>
      <c r="AH146" s="41"/>
      <c r="AI146" s="41"/>
      <c r="AJ146" s="41"/>
    </row>
    <row r="147" spans="1:36" s="19" customFormat="1" x14ac:dyDescent="0.25">
      <c r="A147" s="12" t="s">
        <v>56</v>
      </c>
      <c r="B147" s="13">
        <v>13</v>
      </c>
      <c r="C147" s="12" t="s">
        <v>170</v>
      </c>
      <c r="D147" s="29">
        <v>44623</v>
      </c>
      <c r="E147" s="12">
        <v>278000</v>
      </c>
      <c r="F147" s="12">
        <v>19000</v>
      </c>
      <c r="G147" s="12">
        <v>400</v>
      </c>
      <c r="H147" s="12">
        <v>1100</v>
      </c>
      <c r="I147" s="12">
        <v>1500</v>
      </c>
      <c r="J147" s="12">
        <v>5000</v>
      </c>
      <c r="K147" s="12">
        <v>70</v>
      </c>
      <c r="L147" s="12">
        <v>100</v>
      </c>
      <c r="M147" s="12">
        <v>667</v>
      </c>
      <c r="N147" s="12">
        <v>57</v>
      </c>
      <c r="O147" s="15">
        <v>6</v>
      </c>
      <c r="P147" s="12">
        <v>64</v>
      </c>
      <c r="Q147" s="12">
        <v>22</v>
      </c>
      <c r="R147" s="12">
        <v>41</v>
      </c>
      <c r="S147" s="27">
        <v>627000</v>
      </c>
      <c r="T147" s="12">
        <v>47000</v>
      </c>
      <c r="U147" s="15">
        <v>0.89</v>
      </c>
      <c r="V147" s="12">
        <v>893</v>
      </c>
      <c r="W147" s="12">
        <v>58</v>
      </c>
      <c r="X147" s="49">
        <v>0.11</v>
      </c>
      <c r="Y147" s="12">
        <v>11260</v>
      </c>
      <c r="Z147" s="12">
        <v>810</v>
      </c>
      <c r="AA147" s="15">
        <v>0.23</v>
      </c>
      <c r="AH147" s="41"/>
      <c r="AI147" s="41"/>
      <c r="AJ147" s="41"/>
    </row>
    <row r="148" spans="1:36" x14ac:dyDescent="0.25">
      <c r="A148" s="2" t="s">
        <v>57</v>
      </c>
      <c r="B148" s="16">
        <v>1</v>
      </c>
      <c r="C148" s="2" t="s">
        <v>171</v>
      </c>
      <c r="D148" s="30">
        <v>44623</v>
      </c>
      <c r="E148" s="2">
        <v>352000</v>
      </c>
      <c r="F148" s="2">
        <v>35000</v>
      </c>
      <c r="G148" s="2">
        <v>1100</v>
      </c>
      <c r="H148" s="2">
        <v>1300</v>
      </c>
      <c r="I148" s="2">
        <v>0</v>
      </c>
      <c r="J148" s="2">
        <v>6500</v>
      </c>
      <c r="K148" s="2">
        <v>20</v>
      </c>
      <c r="L148" s="2">
        <v>100</v>
      </c>
      <c r="M148" s="2">
        <v>308</v>
      </c>
      <c r="N148" s="2">
        <v>43</v>
      </c>
      <c r="O148" s="18">
        <v>6</v>
      </c>
      <c r="P148" s="2">
        <v>181</v>
      </c>
      <c r="Q148" s="2">
        <v>41</v>
      </c>
      <c r="R148" s="2">
        <v>35</v>
      </c>
      <c r="S148" s="31">
        <v>710000</v>
      </c>
      <c r="T148" s="2">
        <v>110000</v>
      </c>
      <c r="U148" s="18">
        <v>0.9</v>
      </c>
      <c r="V148" s="2">
        <v>3110</v>
      </c>
      <c r="W148" s="2">
        <v>390</v>
      </c>
      <c r="X148" s="48">
        <v>7.0000000000000007E-2</v>
      </c>
      <c r="Y148" s="2">
        <v>11600</v>
      </c>
      <c r="Z148" s="2">
        <v>1900</v>
      </c>
      <c r="AA148" s="18">
        <v>0.16</v>
      </c>
    </row>
    <row r="149" spans="1:36" x14ac:dyDescent="0.25">
      <c r="A149" s="2" t="s">
        <v>57</v>
      </c>
      <c r="B149" s="16">
        <v>4</v>
      </c>
      <c r="C149" s="2" t="s">
        <v>172</v>
      </c>
      <c r="D149" s="30">
        <v>44623</v>
      </c>
      <c r="E149" s="2">
        <v>377000</v>
      </c>
      <c r="F149" s="2">
        <v>44000</v>
      </c>
      <c r="G149" s="2">
        <v>-100</v>
      </c>
      <c r="H149" s="2">
        <v>1700</v>
      </c>
      <c r="I149" s="2">
        <v>200</v>
      </c>
      <c r="J149" s="2">
        <v>9200</v>
      </c>
      <c r="K149" s="2">
        <v>90</v>
      </c>
      <c r="L149" s="2">
        <v>140</v>
      </c>
      <c r="M149" s="2">
        <v>383</v>
      </c>
      <c r="N149" s="2">
        <v>50</v>
      </c>
      <c r="O149" s="18">
        <v>7.6</v>
      </c>
      <c r="P149" s="2">
        <v>147</v>
      </c>
      <c r="Q149" s="2">
        <v>37</v>
      </c>
      <c r="R149" s="2">
        <v>41</v>
      </c>
      <c r="S149" s="31">
        <v>820000</v>
      </c>
      <c r="T149" s="2">
        <v>130000</v>
      </c>
      <c r="U149" s="18">
        <v>1.1000000000000001</v>
      </c>
      <c r="V149" s="2">
        <v>2080</v>
      </c>
      <c r="W149" s="2">
        <v>400</v>
      </c>
      <c r="X149" s="48">
        <v>0.1</v>
      </c>
      <c r="Y149" s="2">
        <v>12300</v>
      </c>
      <c r="Z149" s="2">
        <v>2300</v>
      </c>
      <c r="AA149" s="18">
        <v>0.19</v>
      </c>
    </row>
    <row r="150" spans="1:36" x14ac:dyDescent="0.25">
      <c r="A150" s="2" t="s">
        <v>57</v>
      </c>
      <c r="B150" s="16">
        <v>5</v>
      </c>
      <c r="C150" s="2" t="s">
        <v>173</v>
      </c>
      <c r="D150" s="30">
        <v>44623</v>
      </c>
      <c r="E150" s="2">
        <v>372000</v>
      </c>
      <c r="F150" s="2">
        <v>34000</v>
      </c>
      <c r="G150" s="2">
        <v>-1200</v>
      </c>
      <c r="H150" s="2">
        <v>1400</v>
      </c>
      <c r="I150" s="2">
        <v>4600</v>
      </c>
      <c r="J150" s="2">
        <v>8100</v>
      </c>
      <c r="K150" s="2">
        <v>-80</v>
      </c>
      <c r="L150" s="2">
        <v>130</v>
      </c>
      <c r="M150" s="2">
        <v>408</v>
      </c>
      <c r="N150" s="2">
        <v>52</v>
      </c>
      <c r="O150" s="18">
        <v>6.3</v>
      </c>
      <c r="P150" s="2">
        <v>158</v>
      </c>
      <c r="Q150" s="2">
        <v>38</v>
      </c>
      <c r="R150" s="2">
        <v>40</v>
      </c>
      <c r="S150" s="31">
        <v>723000</v>
      </c>
      <c r="T150" s="2">
        <v>78000</v>
      </c>
      <c r="U150" s="18">
        <v>1.1000000000000001</v>
      </c>
      <c r="V150" s="2">
        <v>2750</v>
      </c>
      <c r="W150" s="2">
        <v>250</v>
      </c>
      <c r="X150" s="48">
        <v>5.8000000000000003E-2</v>
      </c>
      <c r="Y150" s="2">
        <v>11400</v>
      </c>
      <c r="Z150" s="2">
        <v>1200</v>
      </c>
      <c r="AA150" s="18">
        <v>0.24</v>
      </c>
    </row>
    <row r="151" spans="1:36" x14ac:dyDescent="0.25">
      <c r="A151" s="2" t="s">
        <v>57</v>
      </c>
      <c r="B151" s="16">
        <v>6</v>
      </c>
      <c r="C151" s="2" t="s">
        <v>174</v>
      </c>
      <c r="D151" s="30">
        <v>44623</v>
      </c>
      <c r="E151" s="2">
        <v>438000</v>
      </c>
      <c r="F151" s="2">
        <v>65000</v>
      </c>
      <c r="G151" s="2">
        <v>-1600</v>
      </c>
      <c r="H151" s="2">
        <v>3200</v>
      </c>
      <c r="I151" s="2">
        <v>-4700</v>
      </c>
      <c r="J151" s="2">
        <v>9600</v>
      </c>
      <c r="K151" s="2">
        <v>240</v>
      </c>
      <c r="L151" s="2">
        <v>220</v>
      </c>
      <c r="M151" s="2">
        <v>481</v>
      </c>
      <c r="N151" s="2">
        <v>97</v>
      </c>
      <c r="O151" s="18">
        <v>7.2</v>
      </c>
      <c r="P151" s="2">
        <v>112</v>
      </c>
      <c r="Q151" s="2">
        <v>45</v>
      </c>
      <c r="R151" s="2">
        <v>46</v>
      </c>
      <c r="S151" s="31">
        <v>890000</v>
      </c>
      <c r="T151" s="2">
        <v>160000</v>
      </c>
      <c r="U151" s="18">
        <v>0.97</v>
      </c>
      <c r="V151" s="2">
        <v>2970</v>
      </c>
      <c r="W151" s="2">
        <v>180</v>
      </c>
      <c r="X151" s="48">
        <v>0.04</v>
      </c>
      <c r="Y151" s="2">
        <v>12900</v>
      </c>
      <c r="Z151" s="2">
        <v>1500</v>
      </c>
      <c r="AA151" s="18">
        <v>0.32</v>
      </c>
    </row>
    <row r="152" spans="1:36" x14ac:dyDescent="0.25">
      <c r="A152" s="2" t="s">
        <v>57</v>
      </c>
      <c r="B152" s="16">
        <v>7</v>
      </c>
      <c r="C152" s="2" t="s">
        <v>175</v>
      </c>
      <c r="D152" s="30">
        <v>44623</v>
      </c>
      <c r="E152" s="2">
        <v>406000</v>
      </c>
      <c r="F152" s="2">
        <v>76000</v>
      </c>
      <c r="G152" s="2">
        <v>-900</v>
      </c>
      <c r="H152" s="2">
        <v>2700</v>
      </c>
      <c r="I152" s="2">
        <v>-1900</v>
      </c>
      <c r="J152" s="2">
        <v>8700</v>
      </c>
      <c r="K152" s="2">
        <v>-160</v>
      </c>
      <c r="L152" s="2">
        <v>190</v>
      </c>
      <c r="M152" s="2">
        <v>314</v>
      </c>
      <c r="N152" s="2">
        <v>68</v>
      </c>
      <c r="O152" s="18">
        <v>7.1</v>
      </c>
      <c r="P152" s="2">
        <v>142</v>
      </c>
      <c r="Q152" s="2">
        <v>51</v>
      </c>
      <c r="R152" s="2">
        <v>43</v>
      </c>
      <c r="S152" s="31">
        <v>730000</v>
      </c>
      <c r="T152" s="2">
        <v>180000</v>
      </c>
      <c r="U152" s="18">
        <v>0.81</v>
      </c>
      <c r="V152" s="2">
        <v>2170</v>
      </c>
      <c r="W152" s="2">
        <v>470</v>
      </c>
      <c r="X152" s="48">
        <v>0.13</v>
      </c>
      <c r="Y152" s="2">
        <v>13000</v>
      </c>
      <c r="Z152" s="2">
        <v>3500</v>
      </c>
      <c r="AA152" s="18">
        <v>0.11</v>
      </c>
    </row>
    <row r="153" spans="1:36" x14ac:dyDescent="0.25">
      <c r="A153" s="2" t="s">
        <v>57</v>
      </c>
      <c r="B153" s="16">
        <v>8</v>
      </c>
      <c r="C153" s="2" t="s">
        <v>176</v>
      </c>
      <c r="D153" s="30">
        <v>44623</v>
      </c>
      <c r="E153" s="2">
        <v>383000</v>
      </c>
      <c r="F153" s="2">
        <v>33000</v>
      </c>
      <c r="G153" s="2">
        <v>200</v>
      </c>
      <c r="H153" s="2">
        <v>1300</v>
      </c>
      <c r="I153" s="2">
        <v>3700</v>
      </c>
      <c r="J153" s="2">
        <v>5600</v>
      </c>
      <c r="K153" s="2">
        <v>40</v>
      </c>
      <c r="L153" s="2">
        <v>110</v>
      </c>
      <c r="M153" s="2">
        <v>306</v>
      </c>
      <c r="N153" s="2">
        <v>29</v>
      </c>
      <c r="O153" s="18">
        <v>4.8</v>
      </c>
      <c r="P153" s="2">
        <v>192</v>
      </c>
      <c r="Q153" s="2">
        <v>34</v>
      </c>
      <c r="R153" s="2">
        <v>27</v>
      </c>
      <c r="S153" s="31">
        <v>669000</v>
      </c>
      <c r="T153" s="2">
        <v>96000</v>
      </c>
      <c r="U153" s="18">
        <v>0.82</v>
      </c>
      <c r="V153" s="2">
        <v>2010</v>
      </c>
      <c r="W153" s="2">
        <v>350</v>
      </c>
      <c r="X153" s="48">
        <v>4.8000000000000001E-2</v>
      </c>
      <c r="Y153" s="2">
        <v>11100</v>
      </c>
      <c r="Z153" s="2">
        <v>1700</v>
      </c>
      <c r="AA153" s="18">
        <v>0.12</v>
      </c>
    </row>
    <row r="154" spans="1:36" x14ac:dyDescent="0.25">
      <c r="A154" s="2" t="s">
        <v>57</v>
      </c>
      <c r="B154" s="16">
        <v>9</v>
      </c>
      <c r="C154" s="2" t="s">
        <v>177</v>
      </c>
      <c r="D154" s="30">
        <v>44623</v>
      </c>
      <c r="E154" s="2">
        <v>358000</v>
      </c>
      <c r="F154" s="2">
        <v>46000</v>
      </c>
      <c r="G154" s="2">
        <v>-600</v>
      </c>
      <c r="H154" s="2">
        <v>2000</v>
      </c>
      <c r="I154" s="2">
        <v>-1700</v>
      </c>
      <c r="J154" s="2">
        <v>6500</v>
      </c>
      <c r="K154" s="2">
        <v>150</v>
      </c>
      <c r="L154" s="2">
        <v>120</v>
      </c>
      <c r="M154" s="2">
        <v>344</v>
      </c>
      <c r="N154" s="2">
        <v>79</v>
      </c>
      <c r="O154" s="18">
        <v>5.6</v>
      </c>
      <c r="P154" s="2">
        <v>148</v>
      </c>
      <c r="Q154" s="2">
        <v>34</v>
      </c>
      <c r="R154" s="2">
        <v>33</v>
      </c>
      <c r="S154" s="31">
        <v>730000</v>
      </c>
      <c r="T154" s="2">
        <v>120000</v>
      </c>
      <c r="U154" s="18">
        <v>0.89</v>
      </c>
      <c r="V154" s="2">
        <v>2130</v>
      </c>
      <c r="W154" s="2">
        <v>310</v>
      </c>
      <c r="X154" s="48">
        <v>6.4000000000000001E-2</v>
      </c>
      <c r="Y154" s="2">
        <v>13600</v>
      </c>
      <c r="Z154" s="2">
        <v>2300</v>
      </c>
      <c r="AA154" s="18">
        <v>0.31</v>
      </c>
    </row>
    <row r="155" spans="1:36" s="19" customFormat="1" x14ac:dyDescent="0.25">
      <c r="A155" s="12" t="s">
        <v>65</v>
      </c>
      <c r="B155" s="13">
        <v>2</v>
      </c>
      <c r="C155" s="12" t="s">
        <v>79</v>
      </c>
      <c r="D155" s="29">
        <v>44649</v>
      </c>
      <c r="E155" s="12">
        <v>231000</v>
      </c>
      <c r="F155" s="12">
        <v>20000</v>
      </c>
      <c r="G155" s="12">
        <v>11000</v>
      </c>
      <c r="H155" s="12">
        <v>3000</v>
      </c>
      <c r="I155" s="12">
        <v>62000</v>
      </c>
      <c r="J155" s="12">
        <v>19000</v>
      </c>
      <c r="K155" s="12">
        <v>1620</v>
      </c>
      <c r="L155" s="12">
        <v>380</v>
      </c>
      <c r="M155" s="12">
        <v>580</v>
      </c>
      <c r="N155" s="12">
        <v>110</v>
      </c>
      <c r="O155" s="15">
        <v>7.4</v>
      </c>
      <c r="P155" s="12">
        <v>290</v>
      </c>
      <c r="Q155" s="12">
        <v>62</v>
      </c>
      <c r="R155" s="12">
        <v>50</v>
      </c>
      <c r="S155" s="27">
        <v>588000</v>
      </c>
      <c r="T155" s="12">
        <v>93000</v>
      </c>
      <c r="U155" s="15">
        <v>1.6</v>
      </c>
      <c r="V155" s="12">
        <v>206</v>
      </c>
      <c r="W155" s="12">
        <v>36</v>
      </c>
      <c r="X155" s="49">
        <v>5.6000000000000001E-2</v>
      </c>
      <c r="Y155" s="12">
        <v>10100</v>
      </c>
      <c r="Z155" s="12">
        <v>1200</v>
      </c>
      <c r="AA155" s="15">
        <v>0.23</v>
      </c>
      <c r="AH155" s="41"/>
      <c r="AI155" s="41"/>
      <c r="AJ155" s="41"/>
    </row>
    <row r="156" spans="1:36" s="19" customFormat="1" x14ac:dyDescent="0.25">
      <c r="A156" s="12" t="s">
        <v>65</v>
      </c>
      <c r="B156" s="13">
        <v>3</v>
      </c>
      <c r="C156" s="12" t="s">
        <v>124</v>
      </c>
      <c r="D156" s="29">
        <v>44649</v>
      </c>
      <c r="E156" s="12">
        <v>331000</v>
      </c>
      <c r="F156" s="12">
        <v>42000</v>
      </c>
      <c r="G156" s="12">
        <v>8500</v>
      </c>
      <c r="H156" s="12">
        <v>1800</v>
      </c>
      <c r="I156" s="12">
        <v>56000</v>
      </c>
      <c r="J156" s="12">
        <v>15000</v>
      </c>
      <c r="K156" s="12">
        <v>1570</v>
      </c>
      <c r="L156" s="12">
        <v>570</v>
      </c>
      <c r="M156" s="12">
        <v>662</v>
      </c>
      <c r="N156" s="12">
        <v>91</v>
      </c>
      <c r="O156" s="15">
        <v>5.5</v>
      </c>
      <c r="P156" s="12">
        <v>257</v>
      </c>
      <c r="Q156" s="12">
        <v>53</v>
      </c>
      <c r="R156" s="12">
        <v>43</v>
      </c>
      <c r="S156" s="27">
        <v>860000</v>
      </c>
      <c r="T156" s="12">
        <v>180000</v>
      </c>
      <c r="U156" s="15">
        <v>1.1000000000000001</v>
      </c>
      <c r="V156" s="12">
        <v>219</v>
      </c>
      <c r="W156" s="12">
        <v>43</v>
      </c>
      <c r="X156" s="49">
        <v>2.5999999999999999E-2</v>
      </c>
      <c r="Y156" s="12">
        <v>13900</v>
      </c>
      <c r="Z156" s="12">
        <v>2400</v>
      </c>
      <c r="AA156" s="15">
        <v>0.23</v>
      </c>
      <c r="AH156" s="41"/>
      <c r="AI156" s="41"/>
      <c r="AJ156" s="41"/>
    </row>
    <row r="157" spans="1:36" s="19" customFormat="1" x14ac:dyDescent="0.25">
      <c r="A157" s="12" t="s">
        <v>65</v>
      </c>
      <c r="B157" s="13">
        <v>4</v>
      </c>
      <c r="C157" s="12" t="s">
        <v>102</v>
      </c>
      <c r="D157" s="29">
        <v>44649</v>
      </c>
      <c r="E157" s="12">
        <v>449000</v>
      </c>
      <c r="F157" s="12">
        <v>43000</v>
      </c>
      <c r="G157" s="12">
        <v>500</v>
      </c>
      <c r="H157" s="12">
        <v>1600</v>
      </c>
      <c r="I157" s="12">
        <v>16000</v>
      </c>
      <c r="J157" s="12">
        <v>10000</v>
      </c>
      <c r="K157" s="12">
        <v>510</v>
      </c>
      <c r="L157" s="12">
        <v>270</v>
      </c>
      <c r="M157" s="12">
        <v>468</v>
      </c>
      <c r="N157" s="12">
        <v>93</v>
      </c>
      <c r="O157" s="15">
        <v>4.7</v>
      </c>
      <c r="P157" s="12">
        <v>210</v>
      </c>
      <c r="Q157" s="12">
        <v>45</v>
      </c>
      <c r="R157" s="12">
        <v>32</v>
      </c>
      <c r="S157" s="27">
        <v>810000</v>
      </c>
      <c r="T157" s="12">
        <v>180000</v>
      </c>
      <c r="U157" s="15">
        <v>0.51</v>
      </c>
      <c r="V157" s="12">
        <v>431</v>
      </c>
      <c r="W157" s="12">
        <v>94</v>
      </c>
      <c r="X157" s="49">
        <v>2.7E-2</v>
      </c>
      <c r="Y157" s="12">
        <v>13100</v>
      </c>
      <c r="Z157" s="12">
        <v>2200</v>
      </c>
      <c r="AA157" s="15">
        <v>0.12</v>
      </c>
      <c r="AH157" s="41"/>
      <c r="AI157" s="41"/>
      <c r="AJ157" s="41"/>
    </row>
    <row r="158" spans="1:36" s="19" customFormat="1" x14ac:dyDescent="0.25">
      <c r="A158" s="12" t="s">
        <v>65</v>
      </c>
      <c r="B158" s="13">
        <v>6</v>
      </c>
      <c r="C158" s="12" t="s">
        <v>133</v>
      </c>
      <c r="D158" s="29">
        <v>44649</v>
      </c>
      <c r="E158" s="12">
        <v>349000</v>
      </c>
      <c r="F158" s="12">
        <v>35000</v>
      </c>
      <c r="G158" s="12">
        <v>1400</v>
      </c>
      <c r="H158" s="12">
        <v>1200</v>
      </c>
      <c r="I158" s="12">
        <v>680000</v>
      </c>
      <c r="J158" s="12">
        <v>280000</v>
      </c>
      <c r="K158" s="12">
        <v>16000</v>
      </c>
      <c r="L158" s="12">
        <v>6200</v>
      </c>
      <c r="M158" s="12">
        <v>535</v>
      </c>
      <c r="N158" s="12">
        <v>66</v>
      </c>
      <c r="O158" s="15">
        <v>4.5999999999999996</v>
      </c>
      <c r="P158" s="12">
        <v>220</v>
      </c>
      <c r="Q158" s="12">
        <v>33</v>
      </c>
      <c r="R158" s="12">
        <v>36</v>
      </c>
      <c r="S158" s="27">
        <v>1060000</v>
      </c>
      <c r="T158" s="12">
        <v>260000</v>
      </c>
      <c r="U158" s="15">
        <v>0.61</v>
      </c>
      <c r="V158" s="12">
        <v>293</v>
      </c>
      <c r="W158" s="12">
        <v>51</v>
      </c>
      <c r="X158" s="49">
        <v>4.5999999999999999E-2</v>
      </c>
      <c r="Y158" s="12">
        <v>15500</v>
      </c>
      <c r="Z158" s="12">
        <v>2800</v>
      </c>
      <c r="AA158" s="15">
        <v>0.22</v>
      </c>
      <c r="AH158" s="41"/>
      <c r="AI158" s="41"/>
      <c r="AJ158" s="41"/>
    </row>
    <row r="159" spans="1:36" x14ac:dyDescent="0.25">
      <c r="A159" s="2" t="s">
        <v>224</v>
      </c>
      <c r="B159" s="16">
        <v>1</v>
      </c>
      <c r="C159" s="2" t="s">
        <v>146</v>
      </c>
      <c r="D159" s="30">
        <v>44649</v>
      </c>
      <c r="E159" s="2">
        <v>359000</v>
      </c>
      <c r="F159" s="2">
        <v>54000</v>
      </c>
      <c r="G159" s="2">
        <v>600</v>
      </c>
      <c r="H159" s="2">
        <v>1900</v>
      </c>
      <c r="I159" s="2">
        <v>40000</v>
      </c>
      <c r="J159" s="2">
        <v>46000</v>
      </c>
      <c r="K159" s="2">
        <v>1400</v>
      </c>
      <c r="L159" s="2">
        <v>1500</v>
      </c>
      <c r="M159" s="2">
        <v>520</v>
      </c>
      <c r="N159" s="2">
        <v>100</v>
      </c>
      <c r="O159" s="18">
        <v>6.1</v>
      </c>
      <c r="P159" s="2">
        <v>226</v>
      </c>
      <c r="Q159" s="2">
        <v>80</v>
      </c>
      <c r="R159" s="2">
        <v>44</v>
      </c>
      <c r="S159" s="31">
        <v>990000</v>
      </c>
      <c r="T159" s="2">
        <v>320000</v>
      </c>
      <c r="U159" s="18">
        <v>0.94</v>
      </c>
      <c r="V159" s="2">
        <v>259</v>
      </c>
      <c r="W159" s="2">
        <v>67</v>
      </c>
      <c r="X159" s="48">
        <v>5.0999999999999997E-2</v>
      </c>
      <c r="Y159" s="2">
        <v>16600</v>
      </c>
      <c r="Z159" s="2">
        <v>3900</v>
      </c>
      <c r="AA159" s="18">
        <v>0.16</v>
      </c>
    </row>
    <row r="160" spans="1:36" x14ac:dyDescent="0.25">
      <c r="A160" s="2" t="s">
        <v>224</v>
      </c>
      <c r="B160" s="16">
        <v>2</v>
      </c>
      <c r="C160" s="2" t="s">
        <v>159</v>
      </c>
      <c r="D160" s="30">
        <v>44649</v>
      </c>
      <c r="E160" s="2">
        <v>335000</v>
      </c>
      <c r="F160" s="2">
        <v>49000</v>
      </c>
      <c r="G160" s="2">
        <v>1200</v>
      </c>
      <c r="H160" s="2">
        <v>1500</v>
      </c>
      <c r="I160" s="2">
        <v>37000</v>
      </c>
      <c r="J160" s="2">
        <v>60000</v>
      </c>
      <c r="K160" s="2">
        <v>4200</v>
      </c>
      <c r="L160" s="2">
        <v>8000</v>
      </c>
      <c r="M160" s="2">
        <v>604</v>
      </c>
      <c r="N160" s="2">
        <v>76</v>
      </c>
      <c r="O160" s="18">
        <v>6.6</v>
      </c>
      <c r="P160" s="2">
        <v>163</v>
      </c>
      <c r="Q160" s="2">
        <v>65</v>
      </c>
      <c r="R160" s="2">
        <v>42</v>
      </c>
      <c r="S160" s="31">
        <v>930000</v>
      </c>
      <c r="T160" s="2">
        <v>310000</v>
      </c>
      <c r="U160" s="18">
        <v>0.82</v>
      </c>
      <c r="V160" s="2">
        <v>259</v>
      </c>
      <c r="W160" s="2">
        <v>78</v>
      </c>
      <c r="X160" s="48">
        <v>6.2E-2</v>
      </c>
      <c r="Y160" s="2">
        <v>17900</v>
      </c>
      <c r="Z160" s="2">
        <v>4400</v>
      </c>
      <c r="AA160" s="18">
        <v>0.28000000000000003</v>
      </c>
    </row>
    <row r="161" spans="1:36" x14ac:dyDescent="0.25">
      <c r="A161" s="2" t="s">
        <v>224</v>
      </c>
      <c r="B161" s="16">
        <v>3</v>
      </c>
      <c r="C161" s="2" t="s">
        <v>150</v>
      </c>
      <c r="D161" s="30">
        <v>44649</v>
      </c>
      <c r="E161" s="2">
        <v>297000</v>
      </c>
      <c r="F161" s="2">
        <v>25000</v>
      </c>
      <c r="G161" s="2">
        <v>6700</v>
      </c>
      <c r="H161" s="2">
        <v>1700</v>
      </c>
      <c r="I161" s="2">
        <v>29600</v>
      </c>
      <c r="J161" s="2">
        <v>8000</v>
      </c>
      <c r="K161" s="2">
        <v>760</v>
      </c>
      <c r="L161" s="2">
        <v>200</v>
      </c>
      <c r="M161" s="2">
        <v>430</v>
      </c>
      <c r="N161" s="2">
        <v>36</v>
      </c>
      <c r="O161" s="18">
        <v>3.5</v>
      </c>
      <c r="P161" s="2">
        <v>223</v>
      </c>
      <c r="Q161" s="2">
        <v>26</v>
      </c>
      <c r="R161" s="2">
        <v>25</v>
      </c>
      <c r="S161" s="31">
        <v>581000</v>
      </c>
      <c r="T161" s="2">
        <v>66000</v>
      </c>
      <c r="U161" s="18">
        <v>0.65</v>
      </c>
      <c r="V161" s="2">
        <v>265</v>
      </c>
      <c r="W161" s="2">
        <v>28</v>
      </c>
      <c r="X161" s="48">
        <v>2.5000000000000001E-2</v>
      </c>
      <c r="Y161" s="2">
        <v>10680</v>
      </c>
      <c r="Z161" s="2">
        <v>930</v>
      </c>
      <c r="AA161" s="18">
        <v>0.13</v>
      </c>
    </row>
    <row r="162" spans="1:36" x14ac:dyDescent="0.25">
      <c r="A162" s="2" t="s">
        <v>224</v>
      </c>
      <c r="B162" s="16">
        <v>4</v>
      </c>
      <c r="C162" s="2" t="s">
        <v>178</v>
      </c>
      <c r="D162" s="30">
        <v>44649</v>
      </c>
      <c r="E162" s="2">
        <v>430000</v>
      </c>
      <c r="F162" s="2">
        <v>100000</v>
      </c>
      <c r="G162" s="2">
        <v>400</v>
      </c>
      <c r="H162" s="2">
        <v>2300</v>
      </c>
      <c r="I162" s="2">
        <v>-40000</v>
      </c>
      <c r="J162" s="2">
        <v>17000</v>
      </c>
      <c r="K162" s="2">
        <v>310</v>
      </c>
      <c r="L162" s="2">
        <v>320</v>
      </c>
      <c r="M162" s="2">
        <v>530</v>
      </c>
      <c r="N162" s="2">
        <v>110</v>
      </c>
      <c r="O162" s="18">
        <v>6.7</v>
      </c>
      <c r="P162" s="2">
        <v>340</v>
      </c>
      <c r="Q162" s="2">
        <v>250</v>
      </c>
      <c r="R162" s="2">
        <v>38</v>
      </c>
      <c r="S162" s="31">
        <v>810000</v>
      </c>
      <c r="T162" s="2">
        <v>320000</v>
      </c>
      <c r="U162" s="18">
        <v>1</v>
      </c>
      <c r="V162" s="2">
        <v>380</v>
      </c>
      <c r="W162" s="2">
        <v>160</v>
      </c>
      <c r="X162" s="48">
        <v>6.5000000000000002E-2</v>
      </c>
      <c r="Y162" s="2">
        <v>13500</v>
      </c>
      <c r="Z162" s="2">
        <v>3700</v>
      </c>
      <c r="AA162" s="18">
        <v>0.38</v>
      </c>
    </row>
    <row r="163" spans="1:36" x14ac:dyDescent="0.25">
      <c r="A163" s="2" t="s">
        <v>224</v>
      </c>
      <c r="B163" s="16">
        <v>5</v>
      </c>
      <c r="C163" s="2" t="s">
        <v>179</v>
      </c>
      <c r="D163" s="30">
        <v>44649</v>
      </c>
      <c r="E163" s="2">
        <v>377000</v>
      </c>
      <c r="F163" s="2">
        <v>50000</v>
      </c>
      <c r="G163" s="2">
        <v>0</v>
      </c>
      <c r="H163" s="2">
        <v>1300</v>
      </c>
      <c r="I163" s="2">
        <v>-4300</v>
      </c>
      <c r="J163" s="2">
        <v>9500</v>
      </c>
      <c r="K163" s="2">
        <v>100</v>
      </c>
      <c r="L163" s="2">
        <v>140</v>
      </c>
      <c r="M163" s="2">
        <v>480</v>
      </c>
      <c r="N163" s="2">
        <v>78</v>
      </c>
      <c r="O163" s="18">
        <v>5.0999999999999996</v>
      </c>
      <c r="P163" s="2">
        <v>197</v>
      </c>
      <c r="Q163" s="2">
        <v>44</v>
      </c>
      <c r="R163" s="2">
        <v>32</v>
      </c>
      <c r="S163" s="31">
        <v>780000</v>
      </c>
      <c r="T163" s="2">
        <v>220000</v>
      </c>
      <c r="U163" s="18">
        <v>1</v>
      </c>
      <c r="V163" s="2">
        <v>396</v>
      </c>
      <c r="W163" s="2">
        <v>95</v>
      </c>
      <c r="X163" s="48">
        <v>3.1E-2</v>
      </c>
      <c r="Y163" s="2">
        <v>13500</v>
      </c>
      <c r="Z163" s="2">
        <v>2700</v>
      </c>
      <c r="AA163" s="18">
        <v>0.17</v>
      </c>
    </row>
    <row r="164" spans="1:36" x14ac:dyDescent="0.25">
      <c r="A164" s="2" t="s">
        <v>224</v>
      </c>
      <c r="B164" s="16">
        <v>6</v>
      </c>
      <c r="C164" s="2" t="s">
        <v>164</v>
      </c>
      <c r="D164" s="30">
        <v>44649</v>
      </c>
      <c r="E164" s="2">
        <v>385000</v>
      </c>
      <c r="F164" s="2">
        <v>55000</v>
      </c>
      <c r="G164" s="2">
        <v>-200</v>
      </c>
      <c r="H164" s="2">
        <v>2300</v>
      </c>
      <c r="I164" s="2">
        <v>-2600</v>
      </c>
      <c r="J164" s="2">
        <v>7800</v>
      </c>
      <c r="K164" s="2">
        <v>140</v>
      </c>
      <c r="L164" s="2">
        <v>240</v>
      </c>
      <c r="M164" s="2">
        <v>530</v>
      </c>
      <c r="N164" s="2">
        <v>110</v>
      </c>
      <c r="O164" s="18">
        <v>6.3</v>
      </c>
      <c r="P164" s="2">
        <v>149</v>
      </c>
      <c r="Q164" s="2">
        <v>62</v>
      </c>
      <c r="R164" s="2">
        <v>37</v>
      </c>
      <c r="S164" s="31">
        <v>900000</v>
      </c>
      <c r="T164" s="2">
        <v>320000</v>
      </c>
      <c r="U164" s="18">
        <v>1.4</v>
      </c>
      <c r="V164" s="2">
        <v>370</v>
      </c>
      <c r="W164" s="2">
        <v>110</v>
      </c>
      <c r="X164" s="48">
        <v>5.1999999999999998E-2</v>
      </c>
      <c r="Y164" s="2">
        <v>15900</v>
      </c>
      <c r="Z164" s="2">
        <v>4500</v>
      </c>
      <c r="AA164" s="18">
        <v>0.23</v>
      </c>
    </row>
    <row r="165" spans="1:36" x14ac:dyDescent="0.25">
      <c r="A165" s="2" t="s">
        <v>224</v>
      </c>
      <c r="B165" s="16">
        <v>7</v>
      </c>
      <c r="C165" s="2" t="s">
        <v>180</v>
      </c>
      <c r="D165" s="30">
        <v>44649</v>
      </c>
      <c r="E165" s="2">
        <v>351000</v>
      </c>
      <c r="F165" s="2">
        <v>32000</v>
      </c>
      <c r="G165" s="2">
        <v>-400</v>
      </c>
      <c r="H165" s="2">
        <v>1200</v>
      </c>
      <c r="I165" s="2">
        <v>13300</v>
      </c>
      <c r="J165" s="2">
        <v>8900</v>
      </c>
      <c r="K165" s="2">
        <v>210</v>
      </c>
      <c r="L165" s="2">
        <v>230</v>
      </c>
      <c r="M165" s="2">
        <v>387</v>
      </c>
      <c r="N165" s="2">
        <v>56</v>
      </c>
      <c r="O165" s="18">
        <v>4.0999999999999996</v>
      </c>
      <c r="P165" s="2">
        <v>158</v>
      </c>
      <c r="Q165" s="2">
        <v>29</v>
      </c>
      <c r="R165" s="2">
        <v>28</v>
      </c>
      <c r="S165" s="31">
        <v>760000</v>
      </c>
      <c r="T165" s="2">
        <v>150000</v>
      </c>
      <c r="U165" s="18">
        <v>0.81</v>
      </c>
      <c r="V165" s="2">
        <v>291</v>
      </c>
      <c r="W165" s="2">
        <v>61</v>
      </c>
      <c r="X165" s="48">
        <v>6.5000000000000002E-2</v>
      </c>
      <c r="Y165" s="2">
        <v>13800</v>
      </c>
      <c r="Z165" s="2">
        <v>2400</v>
      </c>
      <c r="AA165" s="18">
        <v>0.18</v>
      </c>
    </row>
    <row r="166" spans="1:36" x14ac:dyDescent="0.25">
      <c r="A166" s="2" t="s">
        <v>224</v>
      </c>
      <c r="B166" s="16">
        <v>8</v>
      </c>
      <c r="C166" s="2" t="s">
        <v>151</v>
      </c>
      <c r="D166" s="30">
        <v>44649</v>
      </c>
      <c r="E166" s="2">
        <v>397000</v>
      </c>
      <c r="F166" s="2">
        <v>61000</v>
      </c>
      <c r="G166" s="2">
        <v>500</v>
      </c>
      <c r="H166" s="2">
        <v>1700</v>
      </c>
      <c r="I166" s="2">
        <v>35000</v>
      </c>
      <c r="J166" s="2">
        <v>39000</v>
      </c>
      <c r="K166" s="2">
        <v>410</v>
      </c>
      <c r="L166" s="2">
        <v>630</v>
      </c>
      <c r="M166" s="2">
        <v>520</v>
      </c>
      <c r="N166" s="2">
        <v>100</v>
      </c>
      <c r="O166" s="18">
        <v>6.1</v>
      </c>
      <c r="P166" s="2">
        <v>220</v>
      </c>
      <c r="Q166" s="2">
        <v>96</v>
      </c>
      <c r="R166" s="2">
        <v>37</v>
      </c>
      <c r="S166" s="31">
        <v>870000</v>
      </c>
      <c r="T166" s="2">
        <v>320000</v>
      </c>
      <c r="U166" s="18">
        <v>1.5</v>
      </c>
      <c r="V166" s="2">
        <v>380</v>
      </c>
      <c r="W166" s="2">
        <v>110</v>
      </c>
      <c r="X166" s="48">
        <v>7.2999999999999995E-2</v>
      </c>
      <c r="Y166" s="2">
        <v>14600</v>
      </c>
      <c r="Z166" s="2">
        <v>3600</v>
      </c>
      <c r="AA166" s="18">
        <v>0.2</v>
      </c>
    </row>
    <row r="167" spans="1:36" x14ac:dyDescent="0.25">
      <c r="A167" s="2" t="s">
        <v>224</v>
      </c>
      <c r="B167" s="16">
        <v>9</v>
      </c>
      <c r="C167" s="2" t="s">
        <v>153</v>
      </c>
      <c r="D167" s="30">
        <v>44649</v>
      </c>
      <c r="E167" s="2">
        <v>335000</v>
      </c>
      <c r="F167" s="2">
        <v>57000</v>
      </c>
      <c r="G167" s="2">
        <v>1400</v>
      </c>
      <c r="H167" s="2">
        <v>1500</v>
      </c>
      <c r="I167" s="2">
        <v>26000</v>
      </c>
      <c r="J167" s="2">
        <v>31000</v>
      </c>
      <c r="K167" s="2">
        <v>690</v>
      </c>
      <c r="L167" s="2">
        <v>640</v>
      </c>
      <c r="M167" s="2">
        <v>449</v>
      </c>
      <c r="N167" s="2">
        <v>90</v>
      </c>
      <c r="O167" s="18">
        <v>5.9</v>
      </c>
      <c r="P167" s="2">
        <v>157</v>
      </c>
      <c r="Q167" s="2">
        <v>36</v>
      </c>
      <c r="R167" s="2">
        <v>40</v>
      </c>
      <c r="S167" s="31">
        <v>790000</v>
      </c>
      <c r="T167" s="2">
        <v>200000</v>
      </c>
      <c r="U167" s="18">
        <v>0.88</v>
      </c>
      <c r="V167" s="2">
        <v>273</v>
      </c>
      <c r="W167" s="2">
        <v>60</v>
      </c>
      <c r="X167" s="48">
        <v>4.1000000000000002E-2</v>
      </c>
      <c r="Y167" s="2">
        <v>11600</v>
      </c>
      <c r="Z167" s="2">
        <v>2300</v>
      </c>
      <c r="AA167" s="18">
        <v>0.19</v>
      </c>
    </row>
    <row r="168" spans="1:36" x14ac:dyDescent="0.25">
      <c r="A168" s="2" t="s">
        <v>224</v>
      </c>
      <c r="B168" s="16">
        <v>10</v>
      </c>
      <c r="C168" s="2" t="s">
        <v>166</v>
      </c>
      <c r="D168" s="30">
        <v>44649</v>
      </c>
      <c r="E168" s="2">
        <v>360000</v>
      </c>
      <c r="F168" s="2">
        <v>35000</v>
      </c>
      <c r="G168" s="2">
        <v>-300</v>
      </c>
      <c r="H168" s="2">
        <v>1300</v>
      </c>
      <c r="I168" s="2">
        <v>-9000</v>
      </c>
      <c r="J168" s="2">
        <v>5400</v>
      </c>
      <c r="K168" s="2">
        <v>-70</v>
      </c>
      <c r="L168" s="2">
        <v>100</v>
      </c>
      <c r="M168" s="2">
        <v>446</v>
      </c>
      <c r="N168" s="2">
        <v>62</v>
      </c>
      <c r="O168" s="18">
        <v>4.4000000000000004</v>
      </c>
      <c r="P168" s="2">
        <v>208</v>
      </c>
      <c r="Q168" s="2">
        <v>62</v>
      </c>
      <c r="R168" s="2">
        <v>29</v>
      </c>
      <c r="S168" s="31">
        <v>840000</v>
      </c>
      <c r="T168" s="2">
        <v>180000</v>
      </c>
      <c r="U168" s="18">
        <v>0.66</v>
      </c>
      <c r="V168" s="2">
        <v>289</v>
      </c>
      <c r="W168" s="2">
        <v>54</v>
      </c>
      <c r="X168" s="48">
        <v>0.04</v>
      </c>
      <c r="Y168" s="2">
        <v>13100</v>
      </c>
      <c r="Z168" s="2">
        <v>2100</v>
      </c>
      <c r="AA168" s="18">
        <v>7.5999999999999998E-2</v>
      </c>
    </row>
    <row r="169" spans="1:36" x14ac:dyDescent="0.25">
      <c r="A169" s="2" t="s">
        <v>224</v>
      </c>
      <c r="B169" s="16">
        <v>11</v>
      </c>
      <c r="C169" s="2" t="s">
        <v>167</v>
      </c>
      <c r="D169" s="30">
        <v>44649</v>
      </c>
      <c r="E169" s="2">
        <v>382000</v>
      </c>
      <c r="F169" s="2">
        <v>38000</v>
      </c>
      <c r="G169" s="2">
        <v>600</v>
      </c>
      <c r="H169" s="2">
        <v>1400</v>
      </c>
      <c r="I169" s="2">
        <v>11800</v>
      </c>
      <c r="J169" s="2">
        <v>7900</v>
      </c>
      <c r="K169" s="2">
        <v>310</v>
      </c>
      <c r="L169" s="2">
        <v>280</v>
      </c>
      <c r="M169" s="2">
        <v>522</v>
      </c>
      <c r="N169" s="2">
        <v>67</v>
      </c>
      <c r="O169" s="18">
        <v>4.7</v>
      </c>
      <c r="P169" s="2">
        <v>154</v>
      </c>
      <c r="Q169" s="2">
        <v>43</v>
      </c>
      <c r="R169" s="2">
        <v>27</v>
      </c>
      <c r="S169" s="31">
        <v>760000</v>
      </c>
      <c r="T169" s="2">
        <v>140000</v>
      </c>
      <c r="U169" s="18">
        <v>0.74</v>
      </c>
      <c r="V169" s="2">
        <v>439</v>
      </c>
      <c r="W169" s="2">
        <v>81</v>
      </c>
      <c r="X169" s="48">
        <v>3.7999999999999999E-2</v>
      </c>
      <c r="Y169" s="2">
        <v>13400</v>
      </c>
      <c r="Z169" s="2">
        <v>2000</v>
      </c>
      <c r="AA169" s="18">
        <v>0.12</v>
      </c>
    </row>
    <row r="170" spans="1:36" x14ac:dyDescent="0.25">
      <c r="A170" s="2" t="s">
        <v>224</v>
      </c>
      <c r="B170" s="16">
        <v>12</v>
      </c>
      <c r="C170" s="2" t="s">
        <v>155</v>
      </c>
      <c r="D170" s="30">
        <v>44649</v>
      </c>
      <c r="E170" s="2">
        <v>384000</v>
      </c>
      <c r="F170" s="2">
        <v>45000</v>
      </c>
      <c r="G170" s="2">
        <v>-1400</v>
      </c>
      <c r="H170" s="2">
        <v>1600</v>
      </c>
      <c r="I170" s="2">
        <v>3100</v>
      </c>
      <c r="J170" s="2">
        <v>6600</v>
      </c>
      <c r="K170" s="2">
        <v>-50</v>
      </c>
      <c r="L170" s="2">
        <v>130</v>
      </c>
      <c r="M170" s="2">
        <v>503</v>
      </c>
      <c r="N170" s="2">
        <v>83</v>
      </c>
      <c r="O170" s="18">
        <v>4.7</v>
      </c>
      <c r="P170" s="2">
        <v>137</v>
      </c>
      <c r="Q170" s="2">
        <v>44</v>
      </c>
      <c r="R170" s="2">
        <v>32</v>
      </c>
      <c r="S170" s="31">
        <v>840000</v>
      </c>
      <c r="T170" s="2">
        <v>230000</v>
      </c>
      <c r="U170" s="18">
        <v>0.71</v>
      </c>
      <c r="V170" s="2">
        <v>430</v>
      </c>
      <c r="W170" s="2">
        <v>110</v>
      </c>
      <c r="X170" s="48">
        <v>0.06</v>
      </c>
      <c r="Y170" s="2">
        <v>14000</v>
      </c>
      <c r="Z170" s="2">
        <v>2900</v>
      </c>
      <c r="AA170" s="18">
        <v>0.22</v>
      </c>
    </row>
    <row r="171" spans="1:36" x14ac:dyDescent="0.25">
      <c r="A171" s="2" t="s">
        <v>224</v>
      </c>
      <c r="B171" s="16">
        <v>13</v>
      </c>
      <c r="C171" s="2" t="s">
        <v>156</v>
      </c>
      <c r="D171" s="30">
        <v>44649</v>
      </c>
      <c r="E171" s="2">
        <v>410000</v>
      </c>
      <c r="F171" s="2">
        <v>100000</v>
      </c>
      <c r="G171" s="2">
        <v>-1000</v>
      </c>
      <c r="H171" s="2">
        <v>4800</v>
      </c>
      <c r="I171" s="2">
        <v>-22400</v>
      </c>
      <c r="J171" s="2">
        <v>6600</v>
      </c>
      <c r="K171" s="2">
        <v>-140</v>
      </c>
      <c r="L171" s="2">
        <v>180</v>
      </c>
      <c r="M171" s="2">
        <v>510</v>
      </c>
      <c r="N171" s="2">
        <v>250</v>
      </c>
      <c r="O171" s="18">
        <v>6.4</v>
      </c>
      <c r="P171" s="2">
        <v>188</v>
      </c>
      <c r="Q171" s="2">
        <v>71</v>
      </c>
      <c r="R171" s="2">
        <v>39</v>
      </c>
      <c r="S171" s="31">
        <v>640000</v>
      </c>
      <c r="T171" s="2">
        <v>260000</v>
      </c>
      <c r="U171" s="18">
        <v>1.5</v>
      </c>
      <c r="V171" s="2">
        <v>290</v>
      </c>
      <c r="W171" s="2">
        <v>280</v>
      </c>
      <c r="X171" s="48">
        <v>0.05</v>
      </c>
      <c r="Y171" s="2">
        <v>15200</v>
      </c>
      <c r="Z171" s="2">
        <v>9600</v>
      </c>
      <c r="AA171" s="18">
        <v>0.23</v>
      </c>
    </row>
    <row r="172" spans="1:36" x14ac:dyDescent="0.25">
      <c r="A172" s="2" t="s">
        <v>224</v>
      </c>
      <c r="B172" s="16">
        <v>14</v>
      </c>
      <c r="C172" s="2" t="s">
        <v>168</v>
      </c>
      <c r="D172" s="30">
        <v>44649</v>
      </c>
      <c r="E172" s="2">
        <v>432000</v>
      </c>
      <c r="F172" s="2">
        <v>57000</v>
      </c>
      <c r="G172" s="2">
        <v>400</v>
      </c>
      <c r="H172" s="2">
        <v>1800</v>
      </c>
      <c r="I172" s="2">
        <v>5700</v>
      </c>
      <c r="J172" s="2">
        <v>7500</v>
      </c>
      <c r="K172" s="2">
        <v>-130</v>
      </c>
      <c r="L172" s="2">
        <v>140</v>
      </c>
      <c r="M172" s="2">
        <v>460</v>
      </c>
      <c r="N172" s="2">
        <v>76</v>
      </c>
      <c r="O172" s="18">
        <v>4.5999999999999996</v>
      </c>
      <c r="P172" s="2">
        <v>164</v>
      </c>
      <c r="Q172" s="2">
        <v>50</v>
      </c>
      <c r="R172" s="2">
        <v>27</v>
      </c>
      <c r="S172" s="31">
        <v>790000</v>
      </c>
      <c r="T172" s="2">
        <v>240000</v>
      </c>
      <c r="U172" s="18">
        <v>0.43</v>
      </c>
      <c r="V172" s="2">
        <v>371</v>
      </c>
      <c r="W172" s="2">
        <v>97</v>
      </c>
      <c r="X172" s="48">
        <v>4.3999999999999997E-2</v>
      </c>
      <c r="Y172" s="2">
        <v>12500</v>
      </c>
      <c r="Z172" s="2">
        <v>3000</v>
      </c>
      <c r="AA172" s="18">
        <v>0.18</v>
      </c>
    </row>
    <row r="173" spans="1:36" s="19" customFormat="1" x14ac:dyDescent="0.25">
      <c r="A173" s="12" t="s">
        <v>50</v>
      </c>
      <c r="B173" s="13">
        <v>3</v>
      </c>
      <c r="C173" s="12" t="s">
        <v>78</v>
      </c>
      <c r="D173" s="29">
        <v>44651</v>
      </c>
      <c r="E173" s="12">
        <v>493000</v>
      </c>
      <c r="F173" s="12">
        <v>57000</v>
      </c>
      <c r="G173" s="12">
        <v>1100</v>
      </c>
      <c r="H173" s="12">
        <v>920</v>
      </c>
      <c r="I173" s="12">
        <v>700</v>
      </c>
      <c r="J173" s="12">
        <v>9800</v>
      </c>
      <c r="K173" s="12">
        <v>-70</v>
      </c>
      <c r="L173" s="12">
        <v>180</v>
      </c>
      <c r="M173" s="12">
        <v>229</v>
      </c>
      <c r="N173" s="12">
        <v>27</v>
      </c>
      <c r="O173" s="15">
        <v>5.5</v>
      </c>
      <c r="P173" s="12"/>
      <c r="Q173" s="12"/>
      <c r="R173" s="12">
        <v>24</v>
      </c>
      <c r="S173" s="27">
        <v>655000</v>
      </c>
      <c r="T173" s="12">
        <v>65000</v>
      </c>
      <c r="U173" s="15">
        <v>0.84</v>
      </c>
      <c r="V173" s="12">
        <v>1560</v>
      </c>
      <c r="W173" s="12">
        <v>190</v>
      </c>
      <c r="X173" s="49">
        <v>4.3999999999999997E-2</v>
      </c>
      <c r="Y173" s="12">
        <v>15800</v>
      </c>
      <c r="Z173" s="12">
        <v>1700</v>
      </c>
      <c r="AA173" s="15">
        <v>0.11</v>
      </c>
      <c r="AH173" s="41"/>
      <c r="AI173" s="41"/>
      <c r="AJ173" s="41"/>
    </row>
    <row r="174" spans="1:36" s="19" customFormat="1" x14ac:dyDescent="0.25">
      <c r="A174" s="12" t="s">
        <v>50</v>
      </c>
      <c r="B174" s="13">
        <v>4</v>
      </c>
      <c r="C174" s="12" t="s">
        <v>124</v>
      </c>
      <c r="D174" s="29">
        <v>44651</v>
      </c>
      <c r="E174" s="12">
        <v>484000</v>
      </c>
      <c r="F174" s="12">
        <v>38000</v>
      </c>
      <c r="G174" s="12">
        <v>600</v>
      </c>
      <c r="H174" s="12">
        <v>1300</v>
      </c>
      <c r="I174" s="12">
        <v>10900</v>
      </c>
      <c r="J174" s="12">
        <v>6900</v>
      </c>
      <c r="K174" s="12">
        <v>80</v>
      </c>
      <c r="L174" s="12">
        <v>220</v>
      </c>
      <c r="M174" s="12">
        <v>196</v>
      </c>
      <c r="N174" s="12">
        <v>13</v>
      </c>
      <c r="O174" s="15">
        <v>5.0999999999999996</v>
      </c>
      <c r="P174" s="12"/>
      <c r="Q174" s="12"/>
      <c r="R174" s="12">
        <v>27</v>
      </c>
      <c r="S174" s="27">
        <v>646000</v>
      </c>
      <c r="T174" s="12">
        <v>83000</v>
      </c>
      <c r="U174" s="15">
        <v>0.9</v>
      </c>
      <c r="V174" s="12">
        <v>1380</v>
      </c>
      <c r="W174" s="12">
        <v>190</v>
      </c>
      <c r="X174" s="49">
        <v>6.6000000000000003E-2</v>
      </c>
      <c r="Y174" s="12">
        <v>15700</v>
      </c>
      <c r="Z174" s="12">
        <v>1300</v>
      </c>
      <c r="AA174" s="15">
        <v>0.19</v>
      </c>
      <c r="AH174" s="41"/>
      <c r="AI174" s="41"/>
      <c r="AJ174" s="41"/>
    </row>
    <row r="175" spans="1:36" s="19" customFormat="1" x14ac:dyDescent="0.25">
      <c r="A175" s="12" t="s">
        <v>50</v>
      </c>
      <c r="B175" s="13">
        <v>6</v>
      </c>
      <c r="C175" s="12" t="s">
        <v>104</v>
      </c>
      <c r="D175" s="29">
        <v>44651</v>
      </c>
      <c r="E175" s="12">
        <v>570000</v>
      </c>
      <c r="F175" s="12">
        <v>130000</v>
      </c>
      <c r="G175" s="12">
        <v>-400</v>
      </c>
      <c r="H175" s="12">
        <v>2200</v>
      </c>
      <c r="I175" s="12">
        <v>50000</v>
      </c>
      <c r="J175" s="12">
        <v>11000</v>
      </c>
      <c r="K175" s="12">
        <v>140</v>
      </c>
      <c r="L175" s="12">
        <v>560</v>
      </c>
      <c r="M175" s="12">
        <v>278</v>
      </c>
      <c r="N175" s="12">
        <v>36</v>
      </c>
      <c r="O175" s="15">
        <v>6.1</v>
      </c>
      <c r="P175" s="12"/>
      <c r="Q175" s="12"/>
      <c r="R175" s="12">
        <v>33</v>
      </c>
      <c r="S175" s="27">
        <v>790000</v>
      </c>
      <c r="T175" s="12">
        <v>220000</v>
      </c>
      <c r="U175" s="15">
        <v>1</v>
      </c>
      <c r="V175" s="12">
        <v>1810</v>
      </c>
      <c r="W175" s="12">
        <v>450</v>
      </c>
      <c r="X175" s="49">
        <v>7.6999999999999999E-2</v>
      </c>
      <c r="Y175" s="12">
        <v>17000</v>
      </c>
      <c r="Z175" s="12">
        <v>3700</v>
      </c>
      <c r="AA175" s="15">
        <v>0.17</v>
      </c>
      <c r="AH175" s="41"/>
      <c r="AI175" s="41"/>
      <c r="AJ175" s="41"/>
    </row>
    <row r="176" spans="1:36" x14ac:dyDescent="0.25">
      <c r="A176" s="2" t="s">
        <v>52</v>
      </c>
      <c r="B176" s="16">
        <v>1</v>
      </c>
      <c r="C176" s="2" t="s">
        <v>135</v>
      </c>
      <c r="D176" s="30">
        <v>44651</v>
      </c>
      <c r="E176" s="2">
        <v>370000</v>
      </c>
      <c r="F176" s="2">
        <v>44000</v>
      </c>
      <c r="G176" s="2">
        <v>-2100</v>
      </c>
      <c r="H176" s="2">
        <v>3100</v>
      </c>
      <c r="I176" s="2">
        <v>-20000</v>
      </c>
      <c r="J176" s="2">
        <v>14000</v>
      </c>
      <c r="K176" s="2">
        <v>70</v>
      </c>
      <c r="L176" s="2">
        <v>400</v>
      </c>
      <c r="M176" s="2">
        <v>514</v>
      </c>
      <c r="N176" s="2">
        <v>94</v>
      </c>
      <c r="O176" s="18">
        <v>10</v>
      </c>
      <c r="P176" s="2"/>
      <c r="Q176" s="2"/>
      <c r="R176" s="2">
        <v>40</v>
      </c>
      <c r="S176" s="31">
        <v>820000</v>
      </c>
      <c r="T176" s="2">
        <v>240000</v>
      </c>
      <c r="U176" s="18">
        <v>1.3</v>
      </c>
      <c r="V176" s="2">
        <v>990</v>
      </c>
      <c r="W176" s="2">
        <v>290</v>
      </c>
      <c r="X176" s="48">
        <v>0.1</v>
      </c>
      <c r="Y176" s="2">
        <v>15500</v>
      </c>
      <c r="Z176" s="2">
        <v>3700</v>
      </c>
      <c r="AA176" s="18">
        <v>0.21</v>
      </c>
    </row>
    <row r="177" spans="1:36" x14ac:dyDescent="0.25">
      <c r="A177" s="2" t="s">
        <v>52</v>
      </c>
      <c r="B177" s="16">
        <v>2</v>
      </c>
      <c r="C177" s="2" t="s">
        <v>136</v>
      </c>
      <c r="D177" s="30">
        <v>44651</v>
      </c>
      <c r="E177" s="2">
        <v>350000</v>
      </c>
      <c r="F177" s="2">
        <v>33000</v>
      </c>
      <c r="G177" s="2">
        <v>-900</v>
      </c>
      <c r="H177" s="2">
        <v>1300</v>
      </c>
      <c r="I177" s="2">
        <v>9500</v>
      </c>
      <c r="J177" s="2">
        <v>9000</v>
      </c>
      <c r="K177" s="2">
        <v>100</v>
      </c>
      <c r="L177" s="2">
        <v>170</v>
      </c>
      <c r="M177" s="2">
        <v>364</v>
      </c>
      <c r="N177" s="2">
        <v>43</v>
      </c>
      <c r="O177" s="18">
        <v>6.3</v>
      </c>
      <c r="P177" s="2"/>
      <c r="Q177" s="2"/>
      <c r="R177" s="2">
        <v>31</v>
      </c>
      <c r="S177" s="31">
        <v>710000</v>
      </c>
      <c r="T177" s="2">
        <v>130000</v>
      </c>
      <c r="U177" s="18">
        <v>0.85</v>
      </c>
      <c r="V177" s="2">
        <v>760</v>
      </c>
      <c r="W177" s="2">
        <v>110</v>
      </c>
      <c r="X177" s="48">
        <v>9.0999999999999998E-2</v>
      </c>
      <c r="Y177" s="2">
        <v>12800</v>
      </c>
      <c r="Z177" s="2">
        <v>1400</v>
      </c>
      <c r="AA177" s="18">
        <v>0.14000000000000001</v>
      </c>
    </row>
    <row r="178" spans="1:36" x14ac:dyDescent="0.25">
      <c r="A178" s="2" t="s">
        <v>52</v>
      </c>
      <c r="B178" s="16">
        <v>3</v>
      </c>
      <c r="C178" s="2" t="s">
        <v>107</v>
      </c>
      <c r="D178" s="30">
        <v>44651</v>
      </c>
      <c r="E178" s="2">
        <v>318000</v>
      </c>
      <c r="F178" s="2">
        <v>27000</v>
      </c>
      <c r="G178" s="2">
        <v>-560</v>
      </c>
      <c r="H178" s="2">
        <v>830</v>
      </c>
      <c r="I178" s="3">
        <v>1600000</v>
      </c>
      <c r="J178" s="3">
        <v>1000000</v>
      </c>
      <c r="K178" s="2">
        <v>26000</v>
      </c>
      <c r="L178" s="2">
        <v>14000</v>
      </c>
      <c r="M178" s="2">
        <v>314</v>
      </c>
      <c r="N178" s="2">
        <v>31</v>
      </c>
      <c r="O178" s="18">
        <v>6</v>
      </c>
      <c r="P178" s="2"/>
      <c r="Q178" s="2"/>
      <c r="R178" s="2">
        <v>30</v>
      </c>
      <c r="S178" s="31">
        <v>656000</v>
      </c>
      <c r="T178" s="2">
        <v>84000</v>
      </c>
      <c r="U178" s="18">
        <v>0.81</v>
      </c>
      <c r="V178" s="2">
        <v>1070</v>
      </c>
      <c r="W178" s="2">
        <v>130</v>
      </c>
      <c r="X178" s="48">
        <v>0.1</v>
      </c>
      <c r="Y178" s="2">
        <v>12000</v>
      </c>
      <c r="Z178" s="2">
        <v>1200</v>
      </c>
      <c r="AA178" s="18">
        <v>0.28000000000000003</v>
      </c>
    </row>
    <row r="179" spans="1:36" x14ac:dyDescent="0.25">
      <c r="A179" s="2" t="s">
        <v>52</v>
      </c>
      <c r="B179" s="16">
        <v>4</v>
      </c>
      <c r="C179" s="2" t="s">
        <v>109</v>
      </c>
      <c r="D179" s="30">
        <v>44651</v>
      </c>
      <c r="E179" s="2">
        <v>427000</v>
      </c>
      <c r="F179" s="2">
        <v>85000</v>
      </c>
      <c r="G179" s="2">
        <v>700</v>
      </c>
      <c r="H179" s="2">
        <v>1800</v>
      </c>
      <c r="I179" s="2">
        <v>70000</v>
      </c>
      <c r="J179" s="2">
        <v>22000</v>
      </c>
      <c r="K179" s="2">
        <v>30</v>
      </c>
      <c r="L179" s="2">
        <v>370</v>
      </c>
      <c r="M179" s="2">
        <v>400</v>
      </c>
      <c r="N179" s="2">
        <v>130</v>
      </c>
      <c r="O179" s="18">
        <v>9.1</v>
      </c>
      <c r="P179" s="2"/>
      <c r="Q179" s="2"/>
      <c r="R179" s="2">
        <v>47</v>
      </c>
      <c r="S179" s="31">
        <v>830000</v>
      </c>
      <c r="T179" s="2">
        <v>260000</v>
      </c>
      <c r="U179" s="18">
        <v>1.3</v>
      </c>
      <c r="V179" s="2">
        <v>1050</v>
      </c>
      <c r="W179" s="2">
        <v>390</v>
      </c>
      <c r="X179" s="48">
        <v>0.15</v>
      </c>
      <c r="Y179" s="2">
        <v>14000</v>
      </c>
      <c r="Z179" s="2">
        <v>4000</v>
      </c>
      <c r="AA179" s="18">
        <v>0.21</v>
      </c>
    </row>
    <row r="180" spans="1:36" x14ac:dyDescent="0.25">
      <c r="A180" s="2" t="s">
        <v>52</v>
      </c>
      <c r="B180" s="16">
        <v>5</v>
      </c>
      <c r="C180" s="2" t="s">
        <v>110</v>
      </c>
      <c r="D180" s="30">
        <v>44651</v>
      </c>
      <c r="E180" s="2">
        <v>349000</v>
      </c>
      <c r="F180" s="2">
        <v>45000</v>
      </c>
      <c r="G180" s="2">
        <v>500</v>
      </c>
      <c r="H180" s="2">
        <v>1100</v>
      </c>
      <c r="I180" s="2">
        <v>900</v>
      </c>
      <c r="J180" s="2">
        <v>7800</v>
      </c>
      <c r="K180" s="2">
        <v>-10</v>
      </c>
      <c r="L180" s="2">
        <v>180</v>
      </c>
      <c r="M180" s="2">
        <v>299</v>
      </c>
      <c r="N180" s="2">
        <v>36</v>
      </c>
      <c r="O180" s="18">
        <v>6.7</v>
      </c>
      <c r="P180" s="2"/>
      <c r="Q180" s="2"/>
      <c r="R180" s="2">
        <v>36</v>
      </c>
      <c r="S180" s="31">
        <v>690000</v>
      </c>
      <c r="T180" s="2">
        <v>120000</v>
      </c>
      <c r="U180" s="18">
        <v>1.1000000000000001</v>
      </c>
      <c r="V180" s="2">
        <v>620</v>
      </c>
      <c r="W180" s="2">
        <v>120</v>
      </c>
      <c r="X180" s="48">
        <v>0.14000000000000001</v>
      </c>
      <c r="Y180" s="2">
        <v>11900</v>
      </c>
      <c r="Z180" s="2">
        <v>1600</v>
      </c>
      <c r="AA180" s="18">
        <v>0.21</v>
      </c>
    </row>
    <row r="181" spans="1:36" x14ac:dyDescent="0.25">
      <c r="A181" s="2" t="s">
        <v>52</v>
      </c>
      <c r="B181" s="16">
        <v>6</v>
      </c>
      <c r="C181" s="2" t="s">
        <v>111</v>
      </c>
      <c r="D181" s="30">
        <v>44651</v>
      </c>
      <c r="E181" s="2">
        <v>308000</v>
      </c>
      <c r="F181" s="2">
        <v>25000</v>
      </c>
      <c r="G181" s="2">
        <v>-500</v>
      </c>
      <c r="H181" s="2">
        <v>1100</v>
      </c>
      <c r="I181" s="2">
        <v>700</v>
      </c>
      <c r="J181" s="2">
        <v>6000</v>
      </c>
      <c r="K181" s="2">
        <v>-90</v>
      </c>
      <c r="L181" s="2">
        <v>150</v>
      </c>
      <c r="M181" s="2">
        <v>407</v>
      </c>
      <c r="N181" s="2">
        <v>56</v>
      </c>
      <c r="O181" s="18">
        <v>6.4</v>
      </c>
      <c r="P181" s="2">
        <v>41</v>
      </c>
      <c r="Q181" s="2">
        <v>21</v>
      </c>
      <c r="R181" s="2">
        <v>33</v>
      </c>
      <c r="S181" s="31">
        <v>680000</v>
      </c>
      <c r="T181" s="2">
        <v>98000</v>
      </c>
      <c r="U181" s="18">
        <v>1</v>
      </c>
      <c r="V181" s="2">
        <v>790</v>
      </c>
      <c r="W181" s="2">
        <v>110</v>
      </c>
      <c r="X181" s="48">
        <v>0.13</v>
      </c>
      <c r="Y181" s="2">
        <v>12100</v>
      </c>
      <c r="Z181" s="2">
        <v>1400</v>
      </c>
      <c r="AA181" s="18">
        <v>0.26</v>
      </c>
    </row>
    <row r="182" spans="1:36" x14ac:dyDescent="0.25">
      <c r="A182" s="2" t="s">
        <v>52</v>
      </c>
      <c r="B182" s="16">
        <v>7</v>
      </c>
      <c r="C182" s="2" t="s">
        <v>137</v>
      </c>
      <c r="D182" s="30">
        <v>44651</v>
      </c>
      <c r="E182" s="2">
        <v>318000</v>
      </c>
      <c r="F182" s="2">
        <v>30000</v>
      </c>
      <c r="G182" s="2">
        <v>50</v>
      </c>
      <c r="H182" s="2">
        <v>940</v>
      </c>
      <c r="I182" s="2">
        <v>5500</v>
      </c>
      <c r="J182" s="2">
        <v>5900</v>
      </c>
      <c r="K182" s="2">
        <v>-10</v>
      </c>
      <c r="L182" s="2">
        <v>140</v>
      </c>
      <c r="M182" s="2">
        <v>414</v>
      </c>
      <c r="N182" s="2">
        <v>42</v>
      </c>
      <c r="O182" s="18">
        <v>6.7</v>
      </c>
      <c r="P182" s="2">
        <v>66</v>
      </c>
      <c r="Q182" s="2">
        <v>27</v>
      </c>
      <c r="R182" s="2">
        <v>34</v>
      </c>
      <c r="S182" s="31">
        <v>740000</v>
      </c>
      <c r="T182" s="2">
        <v>120000</v>
      </c>
      <c r="U182" s="18">
        <v>0.96</v>
      </c>
      <c r="V182" s="2">
        <v>1120</v>
      </c>
      <c r="W182" s="2">
        <v>130</v>
      </c>
      <c r="X182" s="48">
        <v>9.9000000000000005E-2</v>
      </c>
      <c r="Y182" s="2">
        <v>12700</v>
      </c>
      <c r="Z182" s="2">
        <v>1600</v>
      </c>
      <c r="AA182" s="18">
        <v>0.14000000000000001</v>
      </c>
    </row>
    <row r="183" spans="1:36" x14ac:dyDescent="0.25">
      <c r="A183" s="2" t="s">
        <v>52</v>
      </c>
      <c r="B183" s="16">
        <v>8</v>
      </c>
      <c r="C183" s="2" t="s">
        <v>113</v>
      </c>
      <c r="D183" s="30">
        <v>44651</v>
      </c>
      <c r="E183" s="2">
        <v>400000</v>
      </c>
      <c r="F183" s="2">
        <v>61000</v>
      </c>
      <c r="G183" s="2">
        <v>300</v>
      </c>
      <c r="H183" s="2">
        <v>1300</v>
      </c>
      <c r="I183" s="2">
        <v>-3300</v>
      </c>
      <c r="J183" s="2">
        <v>8600</v>
      </c>
      <c r="K183" s="2">
        <v>50</v>
      </c>
      <c r="L183" s="2">
        <v>210</v>
      </c>
      <c r="M183" s="2">
        <v>352</v>
      </c>
      <c r="N183" s="2">
        <v>67</v>
      </c>
      <c r="O183" s="18">
        <v>6.5</v>
      </c>
      <c r="P183" s="2">
        <v>51</v>
      </c>
      <c r="Q183" s="2">
        <v>24</v>
      </c>
      <c r="R183" s="2">
        <v>34</v>
      </c>
      <c r="S183" s="31">
        <v>800000</v>
      </c>
      <c r="T183" s="2">
        <v>210000</v>
      </c>
      <c r="U183" s="18">
        <v>0.89</v>
      </c>
      <c r="V183" s="2">
        <v>840</v>
      </c>
      <c r="W183" s="2">
        <v>200</v>
      </c>
      <c r="X183" s="48">
        <v>9.4E-2</v>
      </c>
      <c r="Y183" s="2">
        <v>13200</v>
      </c>
      <c r="Z183" s="2">
        <v>2400</v>
      </c>
      <c r="AA183" s="18">
        <v>0.14000000000000001</v>
      </c>
    </row>
    <row r="184" spans="1:36" x14ac:dyDescent="0.25">
      <c r="A184" s="2" t="s">
        <v>52</v>
      </c>
      <c r="B184" s="16">
        <v>10</v>
      </c>
      <c r="C184" s="2" t="s">
        <v>139</v>
      </c>
      <c r="D184" s="30">
        <v>44651</v>
      </c>
      <c r="E184" s="2">
        <v>380000</v>
      </c>
      <c r="F184" s="2">
        <v>42000</v>
      </c>
      <c r="G184" s="2">
        <v>1210</v>
      </c>
      <c r="H184" s="2">
        <v>930</v>
      </c>
      <c r="I184" s="2">
        <v>30000</v>
      </c>
      <c r="J184" s="2">
        <v>10000</v>
      </c>
      <c r="K184" s="2">
        <v>370</v>
      </c>
      <c r="L184" s="2">
        <v>310</v>
      </c>
      <c r="M184" s="2">
        <v>427</v>
      </c>
      <c r="N184" s="2">
        <v>56</v>
      </c>
      <c r="O184" s="18">
        <v>7.5</v>
      </c>
      <c r="P184" s="2">
        <v>42</v>
      </c>
      <c r="Q184" s="2">
        <v>33</v>
      </c>
      <c r="R184" s="2">
        <v>38</v>
      </c>
      <c r="S184" s="31">
        <v>750000</v>
      </c>
      <c r="T184" s="2">
        <v>150000</v>
      </c>
      <c r="U184" s="18">
        <v>1</v>
      </c>
      <c r="V184" s="2">
        <v>1120</v>
      </c>
      <c r="W184" s="2">
        <v>210</v>
      </c>
      <c r="X184" s="48">
        <v>0.12</v>
      </c>
      <c r="Y184" s="2">
        <v>14300</v>
      </c>
      <c r="Z184" s="2">
        <v>2100</v>
      </c>
      <c r="AA184" s="18">
        <v>0.32</v>
      </c>
    </row>
    <row r="185" spans="1:36" x14ac:dyDescent="0.25">
      <c r="A185" s="2" t="s">
        <v>52</v>
      </c>
      <c r="B185" s="16">
        <v>11</v>
      </c>
      <c r="C185" s="2" t="s">
        <v>114</v>
      </c>
      <c r="D185" s="30">
        <v>44651</v>
      </c>
      <c r="E185" s="2">
        <v>356000</v>
      </c>
      <c r="F185" s="2">
        <v>60000</v>
      </c>
      <c r="G185" s="2">
        <v>600</v>
      </c>
      <c r="H185" s="2">
        <v>2900</v>
      </c>
      <c r="I185" s="2">
        <v>80000</v>
      </c>
      <c r="J185" s="2">
        <v>20000</v>
      </c>
      <c r="K185" s="2">
        <v>150</v>
      </c>
      <c r="L185" s="2">
        <v>430</v>
      </c>
      <c r="M185" s="2">
        <v>570</v>
      </c>
      <c r="N185" s="2">
        <v>160</v>
      </c>
      <c r="O185" s="18">
        <v>10</v>
      </c>
      <c r="P185" s="2">
        <v>61</v>
      </c>
      <c r="Q185" s="2">
        <v>50</v>
      </c>
      <c r="R185" s="2">
        <v>47</v>
      </c>
      <c r="S185" s="31">
        <v>1010000</v>
      </c>
      <c r="T185" s="2">
        <v>420000</v>
      </c>
      <c r="U185" s="18">
        <v>1.4</v>
      </c>
      <c r="V185" s="2">
        <v>1610</v>
      </c>
      <c r="W185" s="2">
        <v>490</v>
      </c>
      <c r="X185" s="48">
        <v>0.16</v>
      </c>
      <c r="Y185" s="2">
        <v>17600</v>
      </c>
      <c r="Z185" s="2">
        <v>6300</v>
      </c>
      <c r="AA185" s="18">
        <v>0.25</v>
      </c>
    </row>
    <row r="186" spans="1:36" s="19" customFormat="1" x14ac:dyDescent="0.25">
      <c r="A186" s="12" t="s">
        <v>34</v>
      </c>
      <c r="B186" s="13">
        <v>5</v>
      </c>
      <c r="C186" s="12" t="s">
        <v>132</v>
      </c>
      <c r="D186" s="29">
        <v>44657</v>
      </c>
      <c r="E186" s="12">
        <v>389000</v>
      </c>
      <c r="F186" s="12">
        <v>37000</v>
      </c>
      <c r="G186" s="12">
        <v>-400</v>
      </c>
      <c r="H186" s="12">
        <v>1300</v>
      </c>
      <c r="I186" s="12">
        <v>20000</v>
      </c>
      <c r="J186" s="12">
        <v>15000</v>
      </c>
      <c r="K186" s="12">
        <v>440</v>
      </c>
      <c r="L186" s="12">
        <v>300</v>
      </c>
      <c r="M186" s="12">
        <v>197</v>
      </c>
      <c r="N186" s="12">
        <v>24</v>
      </c>
      <c r="O186" s="15">
        <v>7.6</v>
      </c>
      <c r="P186" s="12"/>
      <c r="Q186" s="12"/>
      <c r="R186" s="12">
        <v>59</v>
      </c>
      <c r="S186" s="27">
        <v>1070000</v>
      </c>
      <c r="T186" s="12">
        <v>180000</v>
      </c>
      <c r="U186" s="15">
        <v>1.3</v>
      </c>
      <c r="V186" s="12">
        <v>836</v>
      </c>
      <c r="W186" s="12">
        <v>91</v>
      </c>
      <c r="X186" s="49">
        <v>0.13</v>
      </c>
      <c r="Y186" s="12">
        <v>18800</v>
      </c>
      <c r="Z186" s="12">
        <v>2300</v>
      </c>
      <c r="AA186" s="15">
        <v>0.19</v>
      </c>
      <c r="AH186" s="41"/>
      <c r="AI186" s="41"/>
      <c r="AJ186" s="41"/>
    </row>
    <row r="187" spans="1:36" x14ac:dyDescent="0.25">
      <c r="A187" s="2" t="s">
        <v>61</v>
      </c>
      <c r="B187" s="16">
        <v>1</v>
      </c>
      <c r="C187" s="2" t="s">
        <v>78</v>
      </c>
      <c r="D187" s="30">
        <v>44691</v>
      </c>
      <c r="E187" s="2">
        <v>384000</v>
      </c>
      <c r="F187" s="2">
        <v>22000</v>
      </c>
      <c r="G187" s="2">
        <v>400</v>
      </c>
      <c r="H187" s="2">
        <v>2100</v>
      </c>
      <c r="I187" s="2">
        <v>90000</v>
      </c>
      <c r="J187" s="2">
        <v>13000</v>
      </c>
      <c r="K187" s="2">
        <v>180</v>
      </c>
      <c r="L187" s="2">
        <v>230</v>
      </c>
      <c r="M187" s="2">
        <v>220</v>
      </c>
      <c r="N187" s="2">
        <v>22</v>
      </c>
      <c r="O187" s="18">
        <v>8.1</v>
      </c>
      <c r="P187" s="2">
        <v>91</v>
      </c>
      <c r="Q187" s="2">
        <v>40</v>
      </c>
      <c r="R187" s="2">
        <v>56</v>
      </c>
      <c r="S187" s="31">
        <v>744000</v>
      </c>
      <c r="T187" s="2">
        <v>59000</v>
      </c>
      <c r="U187" s="18">
        <v>0.98</v>
      </c>
      <c r="V187" s="2">
        <v>1007</v>
      </c>
      <c r="W187" s="2">
        <v>65</v>
      </c>
      <c r="X187" s="48">
        <v>0.12</v>
      </c>
      <c r="Y187" s="2">
        <v>15100</v>
      </c>
      <c r="Z187" s="2">
        <v>1600</v>
      </c>
      <c r="AA187" s="18">
        <v>0.28000000000000003</v>
      </c>
    </row>
    <row r="188" spans="1:36" x14ac:dyDescent="0.25">
      <c r="A188" s="2" t="s">
        <v>61</v>
      </c>
      <c r="B188" s="16">
        <v>2</v>
      </c>
      <c r="C188" s="2" t="s">
        <v>79</v>
      </c>
      <c r="D188" s="30">
        <v>44691</v>
      </c>
      <c r="E188" s="2">
        <v>359000</v>
      </c>
      <c r="F188" s="2">
        <v>27000</v>
      </c>
      <c r="G188" s="2">
        <v>-1700</v>
      </c>
      <c r="H188" s="2">
        <v>2300</v>
      </c>
      <c r="I188" s="2">
        <v>16100</v>
      </c>
      <c r="J188" s="2">
        <v>6800</v>
      </c>
      <c r="K188" s="2">
        <v>300</v>
      </c>
      <c r="L188" s="2">
        <v>190</v>
      </c>
      <c r="M188" s="2">
        <v>268</v>
      </c>
      <c r="N188" s="2">
        <v>28</v>
      </c>
      <c r="O188" s="18">
        <v>6.4</v>
      </c>
      <c r="P188" s="2">
        <v>55</v>
      </c>
      <c r="Q188" s="2">
        <v>39</v>
      </c>
      <c r="R188" s="2">
        <v>52</v>
      </c>
      <c r="S188" s="31">
        <v>862000</v>
      </c>
      <c r="T188" s="2">
        <v>82000</v>
      </c>
      <c r="U188" s="18">
        <v>0.49</v>
      </c>
      <c r="V188" s="2">
        <v>1110</v>
      </c>
      <c r="W188" s="2">
        <v>110</v>
      </c>
      <c r="X188" s="48">
        <v>0.12</v>
      </c>
      <c r="Y188" s="2">
        <v>15900</v>
      </c>
      <c r="Z188" s="2">
        <v>1900</v>
      </c>
      <c r="AA188" s="18">
        <v>0.18</v>
      </c>
    </row>
    <row r="189" spans="1:36" x14ac:dyDescent="0.25">
      <c r="A189" s="2" t="s">
        <v>61</v>
      </c>
      <c r="B189" s="16">
        <v>3</v>
      </c>
      <c r="C189" s="2" t="s">
        <v>124</v>
      </c>
      <c r="D189" s="30">
        <v>44691</v>
      </c>
      <c r="E189" s="2">
        <v>380000</v>
      </c>
      <c r="F189" s="2">
        <v>58000</v>
      </c>
      <c r="G189" s="2">
        <v>-1900</v>
      </c>
      <c r="H189" s="2">
        <v>2500</v>
      </c>
      <c r="I189" s="2">
        <v>11000</v>
      </c>
      <c r="J189" s="2">
        <v>12000</v>
      </c>
      <c r="K189" s="2">
        <v>-60</v>
      </c>
      <c r="L189" s="2">
        <v>260</v>
      </c>
      <c r="M189" s="2">
        <v>160</v>
      </c>
      <c r="N189" s="2">
        <v>17</v>
      </c>
      <c r="O189" s="18">
        <v>6.5</v>
      </c>
      <c r="P189" s="2">
        <v>79</v>
      </c>
      <c r="Q189" s="2">
        <v>37</v>
      </c>
      <c r="R189" s="2">
        <v>44</v>
      </c>
      <c r="S189" s="31">
        <v>730000</v>
      </c>
      <c r="T189" s="2">
        <v>130000</v>
      </c>
      <c r="U189" s="18">
        <v>0.74</v>
      </c>
      <c r="V189" s="2">
        <v>2790</v>
      </c>
      <c r="W189" s="2">
        <v>340</v>
      </c>
      <c r="X189" s="48">
        <v>6.5000000000000002E-2</v>
      </c>
      <c r="Y189" s="2">
        <v>13200</v>
      </c>
      <c r="Z189" s="2">
        <v>1600</v>
      </c>
      <c r="AA189" s="18">
        <v>0.26</v>
      </c>
    </row>
    <row r="190" spans="1:36" x14ac:dyDescent="0.25">
      <c r="A190" s="2" t="s">
        <v>61</v>
      </c>
      <c r="B190" s="16">
        <v>4</v>
      </c>
      <c r="C190" s="2" t="s">
        <v>101</v>
      </c>
      <c r="D190" s="30">
        <v>44691</v>
      </c>
      <c r="E190" s="2">
        <v>361000</v>
      </c>
      <c r="F190" s="2">
        <v>49000</v>
      </c>
      <c r="G190" s="2">
        <v>-900</v>
      </c>
      <c r="H190" s="2">
        <v>1600</v>
      </c>
      <c r="I190" s="3">
        <v>9000000</v>
      </c>
      <c r="J190" s="3">
        <v>1100000</v>
      </c>
      <c r="K190" s="2">
        <v>38000</v>
      </c>
      <c r="L190" s="2">
        <v>39000</v>
      </c>
      <c r="M190" s="2">
        <v>221</v>
      </c>
      <c r="N190" s="2">
        <v>28</v>
      </c>
      <c r="O190" s="18">
        <v>6.3</v>
      </c>
      <c r="P190" s="2">
        <v>89</v>
      </c>
      <c r="Q190" s="2">
        <v>31</v>
      </c>
      <c r="R190" s="2">
        <v>49</v>
      </c>
      <c r="S190" s="31">
        <v>790000</v>
      </c>
      <c r="T190" s="2">
        <v>100000</v>
      </c>
      <c r="U190" s="18">
        <v>0.9</v>
      </c>
      <c r="V190" s="2">
        <v>1440</v>
      </c>
      <c r="W190" s="2">
        <v>230</v>
      </c>
      <c r="X190" s="48">
        <v>8.8999999999999996E-2</v>
      </c>
      <c r="Y190" s="2">
        <v>13300</v>
      </c>
      <c r="Z190" s="2">
        <v>1700</v>
      </c>
      <c r="AA190" s="18">
        <v>0.19</v>
      </c>
    </row>
    <row r="191" spans="1:36" x14ac:dyDescent="0.25">
      <c r="A191" s="2" t="s">
        <v>61</v>
      </c>
      <c r="B191" s="16">
        <v>5</v>
      </c>
      <c r="C191" s="2" t="s">
        <v>102</v>
      </c>
      <c r="D191" s="30">
        <v>44691</v>
      </c>
      <c r="E191" s="2">
        <v>318000</v>
      </c>
      <c r="F191" s="2">
        <v>25000</v>
      </c>
      <c r="G191" s="2">
        <v>3400</v>
      </c>
      <c r="H191" s="2">
        <v>1600</v>
      </c>
      <c r="I191" s="2">
        <v>17600</v>
      </c>
      <c r="J191" s="2">
        <v>7900</v>
      </c>
      <c r="K191" s="2">
        <v>600</v>
      </c>
      <c r="L191" s="2">
        <v>270</v>
      </c>
      <c r="M191" s="2">
        <v>198</v>
      </c>
      <c r="N191" s="2">
        <v>45</v>
      </c>
      <c r="O191" s="18">
        <v>7.3</v>
      </c>
      <c r="P191" s="2">
        <v>63</v>
      </c>
      <c r="Q191" s="2">
        <v>25</v>
      </c>
      <c r="R191" s="2">
        <v>57</v>
      </c>
      <c r="S191" s="31">
        <v>582000</v>
      </c>
      <c r="T191" s="2">
        <v>74000</v>
      </c>
      <c r="U191" s="18">
        <v>1</v>
      </c>
      <c r="V191" s="2">
        <v>930</v>
      </c>
      <c r="W191" s="2">
        <v>120</v>
      </c>
      <c r="X191" s="48">
        <v>9.7000000000000003E-2</v>
      </c>
      <c r="Y191" s="2">
        <v>11700</v>
      </c>
      <c r="Z191" s="2">
        <v>1200</v>
      </c>
      <c r="AA191" s="18">
        <v>0.25</v>
      </c>
    </row>
    <row r="192" spans="1:36" x14ac:dyDescent="0.25">
      <c r="A192" s="2" t="s">
        <v>61</v>
      </c>
      <c r="B192" s="16">
        <v>6</v>
      </c>
      <c r="C192" s="2" t="s">
        <v>103</v>
      </c>
      <c r="D192" s="30">
        <v>44691</v>
      </c>
      <c r="E192" s="2">
        <v>378000</v>
      </c>
      <c r="F192" s="2">
        <v>35000</v>
      </c>
      <c r="G192" s="2">
        <v>-400</v>
      </c>
      <c r="H192" s="2">
        <v>2100</v>
      </c>
      <c r="I192" s="2">
        <v>500</v>
      </c>
      <c r="J192" s="2">
        <v>7800</v>
      </c>
      <c r="K192" s="2">
        <v>340</v>
      </c>
      <c r="L192" s="2">
        <v>220</v>
      </c>
      <c r="M192" s="2">
        <v>177</v>
      </c>
      <c r="N192" s="2">
        <v>27</v>
      </c>
      <c r="O192" s="18">
        <v>7.2</v>
      </c>
      <c r="P192" s="2">
        <v>60</v>
      </c>
      <c r="Q192" s="2">
        <v>54</v>
      </c>
      <c r="R192" s="2">
        <v>57</v>
      </c>
      <c r="S192" s="31">
        <v>810000</v>
      </c>
      <c r="T192" s="2">
        <v>130000</v>
      </c>
      <c r="U192" s="18">
        <v>1</v>
      </c>
      <c r="V192" s="2">
        <v>2250</v>
      </c>
      <c r="W192" s="2">
        <v>280</v>
      </c>
      <c r="X192" s="48">
        <v>0.1</v>
      </c>
      <c r="Y192" s="2">
        <v>15500</v>
      </c>
      <c r="Z192" s="2">
        <v>2500</v>
      </c>
      <c r="AA192" s="18">
        <v>0.27</v>
      </c>
    </row>
    <row r="193" spans="1:36" x14ac:dyDescent="0.25">
      <c r="A193" s="2" t="s">
        <v>61</v>
      </c>
      <c r="B193" s="16">
        <v>7</v>
      </c>
      <c r="C193" s="2" t="s">
        <v>125</v>
      </c>
      <c r="D193" s="30">
        <v>44691</v>
      </c>
      <c r="E193" s="2">
        <v>330000</v>
      </c>
      <c r="F193" s="2">
        <v>57000</v>
      </c>
      <c r="G193" s="2">
        <v>500</v>
      </c>
      <c r="H193" s="2">
        <v>3200</v>
      </c>
      <c r="I193" s="2">
        <v>20000</v>
      </c>
      <c r="J193" s="2">
        <v>16000</v>
      </c>
      <c r="K193" s="2">
        <v>340</v>
      </c>
      <c r="L193" s="2">
        <v>290</v>
      </c>
      <c r="M193" s="2">
        <v>290</v>
      </c>
      <c r="N193" s="2">
        <v>55</v>
      </c>
      <c r="O193" s="18">
        <v>8.9</v>
      </c>
      <c r="P193" s="2">
        <v>65</v>
      </c>
      <c r="Q193" s="2">
        <v>71</v>
      </c>
      <c r="R193" s="2">
        <v>60</v>
      </c>
      <c r="S193" s="31">
        <v>970000</v>
      </c>
      <c r="T193" s="2">
        <v>320000</v>
      </c>
      <c r="U193" s="18">
        <v>0.61</v>
      </c>
      <c r="V193" s="2">
        <v>1250</v>
      </c>
      <c r="W193" s="2">
        <v>390</v>
      </c>
      <c r="X193" s="48">
        <v>0.13</v>
      </c>
      <c r="Y193" s="2">
        <v>20300</v>
      </c>
      <c r="Z193" s="2">
        <v>5100</v>
      </c>
      <c r="AA193" s="18">
        <v>0.32</v>
      </c>
    </row>
    <row r="194" spans="1:36" x14ac:dyDescent="0.25">
      <c r="A194" s="2" t="s">
        <v>61</v>
      </c>
      <c r="B194" s="16">
        <v>8</v>
      </c>
      <c r="C194" s="2" t="s">
        <v>106</v>
      </c>
      <c r="D194" s="30">
        <v>44691</v>
      </c>
      <c r="E194" s="2">
        <v>378000</v>
      </c>
      <c r="F194" s="2">
        <v>51000</v>
      </c>
      <c r="G194" s="2">
        <v>900</v>
      </c>
      <c r="H194" s="2">
        <v>1600</v>
      </c>
      <c r="I194" s="2">
        <v>3400</v>
      </c>
      <c r="J194" s="2">
        <v>6900</v>
      </c>
      <c r="K194" s="2">
        <v>-30</v>
      </c>
      <c r="L194" s="2">
        <v>220</v>
      </c>
      <c r="M194" s="2">
        <v>223</v>
      </c>
      <c r="N194" s="2">
        <v>35</v>
      </c>
      <c r="O194" s="18">
        <v>6.8</v>
      </c>
      <c r="P194" s="2">
        <v>59</v>
      </c>
      <c r="Q194" s="2">
        <v>48</v>
      </c>
      <c r="R194" s="2">
        <v>51</v>
      </c>
      <c r="S194" s="31">
        <v>820000</v>
      </c>
      <c r="T194" s="2">
        <v>120000</v>
      </c>
      <c r="U194" s="18">
        <v>0.61</v>
      </c>
      <c r="V194" s="2">
        <v>1660</v>
      </c>
      <c r="W194" s="2">
        <v>170</v>
      </c>
      <c r="X194" s="48">
        <v>9.9000000000000005E-2</v>
      </c>
      <c r="Y194" s="2">
        <v>15600</v>
      </c>
      <c r="Z194" s="2">
        <v>1700</v>
      </c>
      <c r="AA194" s="18">
        <v>0.19</v>
      </c>
    </row>
    <row r="195" spans="1:36" x14ac:dyDescent="0.25">
      <c r="A195" s="2" t="s">
        <v>61</v>
      </c>
      <c r="B195" s="16">
        <v>9</v>
      </c>
      <c r="C195" s="2" t="s">
        <v>133</v>
      </c>
      <c r="D195" s="30">
        <v>44691</v>
      </c>
      <c r="E195" s="2">
        <v>329000</v>
      </c>
      <c r="F195" s="2">
        <v>22000</v>
      </c>
      <c r="G195" s="2">
        <v>-1700</v>
      </c>
      <c r="H195" s="2">
        <v>1000</v>
      </c>
      <c r="I195" s="2">
        <v>500</v>
      </c>
      <c r="J195" s="2">
        <v>4100</v>
      </c>
      <c r="K195" s="2">
        <v>-20</v>
      </c>
      <c r="L195" s="2">
        <v>110</v>
      </c>
      <c r="M195" s="2">
        <v>131</v>
      </c>
      <c r="N195" s="2">
        <v>18</v>
      </c>
      <c r="O195" s="18">
        <v>5.4</v>
      </c>
      <c r="P195" s="2">
        <v>63</v>
      </c>
      <c r="Q195" s="2">
        <v>27</v>
      </c>
      <c r="R195" s="2">
        <v>39</v>
      </c>
      <c r="S195" s="31">
        <v>604000</v>
      </c>
      <c r="T195" s="2">
        <v>52000</v>
      </c>
      <c r="U195" s="18">
        <v>0.79</v>
      </c>
      <c r="V195" s="2">
        <v>2130</v>
      </c>
      <c r="W195" s="2">
        <v>150</v>
      </c>
      <c r="X195" s="48">
        <v>8.3000000000000004E-2</v>
      </c>
      <c r="Y195" s="2">
        <v>11900</v>
      </c>
      <c r="Z195" s="2">
        <v>1200</v>
      </c>
      <c r="AA195" s="18">
        <v>0.16</v>
      </c>
    </row>
    <row r="196" spans="1:36" x14ac:dyDescent="0.25">
      <c r="A196" s="2" t="s">
        <v>61</v>
      </c>
      <c r="B196" s="16">
        <v>10</v>
      </c>
      <c r="C196" s="2" t="s">
        <v>135</v>
      </c>
      <c r="D196" s="30">
        <v>44691</v>
      </c>
      <c r="E196" s="2">
        <v>363000</v>
      </c>
      <c r="F196" s="2">
        <v>44000</v>
      </c>
      <c r="G196" s="2">
        <v>-800</v>
      </c>
      <c r="H196" s="2">
        <v>1500</v>
      </c>
      <c r="I196" s="3">
        <v>2300000</v>
      </c>
      <c r="J196" s="3">
        <v>1800000</v>
      </c>
      <c r="K196" s="2">
        <v>60000</v>
      </c>
      <c r="L196" s="2">
        <v>46000</v>
      </c>
      <c r="M196" s="2">
        <v>173</v>
      </c>
      <c r="N196" s="2">
        <v>17</v>
      </c>
      <c r="O196" s="18">
        <v>6.7</v>
      </c>
      <c r="P196" s="2"/>
      <c r="Q196" s="2"/>
      <c r="R196" s="2">
        <v>51</v>
      </c>
      <c r="S196" s="31">
        <v>733000</v>
      </c>
      <c r="T196" s="2">
        <v>70000</v>
      </c>
      <c r="U196" s="18">
        <v>0.71</v>
      </c>
      <c r="V196" s="2">
        <v>1630</v>
      </c>
      <c r="W196" s="2">
        <v>210</v>
      </c>
      <c r="X196" s="48">
        <v>9.4E-2</v>
      </c>
      <c r="Y196" s="2">
        <v>14600</v>
      </c>
      <c r="Z196" s="2">
        <v>1900</v>
      </c>
      <c r="AA196" s="18">
        <v>0.16</v>
      </c>
    </row>
    <row r="197" spans="1:36" x14ac:dyDescent="0.25">
      <c r="A197" s="2" t="s">
        <v>61</v>
      </c>
      <c r="B197" s="16">
        <v>11</v>
      </c>
      <c r="C197" s="2" t="s">
        <v>136</v>
      </c>
      <c r="D197" s="30">
        <v>44691</v>
      </c>
      <c r="E197" s="2">
        <v>327000</v>
      </c>
      <c r="F197" s="2">
        <v>44000</v>
      </c>
      <c r="G197" s="2">
        <v>200</v>
      </c>
      <c r="H197" s="2">
        <v>2200</v>
      </c>
      <c r="I197" s="3">
        <v>2000000</v>
      </c>
      <c r="J197" s="3">
        <v>1500000</v>
      </c>
      <c r="K197" s="2">
        <v>73000</v>
      </c>
      <c r="L197" s="2">
        <v>53000</v>
      </c>
      <c r="M197" s="2">
        <v>169</v>
      </c>
      <c r="N197" s="2">
        <v>25</v>
      </c>
      <c r="O197" s="18">
        <v>6.1</v>
      </c>
      <c r="P197" s="2"/>
      <c r="Q197" s="2"/>
      <c r="R197" s="2">
        <v>46</v>
      </c>
      <c r="S197" s="31">
        <v>596000</v>
      </c>
      <c r="T197" s="2">
        <v>58000</v>
      </c>
      <c r="U197" s="18">
        <v>1</v>
      </c>
      <c r="V197" s="2">
        <v>1280</v>
      </c>
      <c r="W197" s="2">
        <v>180</v>
      </c>
      <c r="X197" s="48">
        <v>0.09</v>
      </c>
      <c r="Y197" s="2">
        <v>12000</v>
      </c>
      <c r="Z197" s="2">
        <v>1600</v>
      </c>
      <c r="AA197" s="18">
        <v>0.32</v>
      </c>
    </row>
    <row r="198" spans="1:36" x14ac:dyDescent="0.25">
      <c r="A198" s="2" t="s">
        <v>61</v>
      </c>
      <c r="B198" s="16">
        <v>12</v>
      </c>
      <c r="C198" s="2" t="s">
        <v>110</v>
      </c>
      <c r="D198" s="30">
        <v>44691</v>
      </c>
      <c r="E198" s="2">
        <v>313000</v>
      </c>
      <c r="F198" s="2">
        <v>61000</v>
      </c>
      <c r="G198" s="2">
        <v>3800</v>
      </c>
      <c r="H198" s="2">
        <v>6600</v>
      </c>
      <c r="I198" s="2">
        <v>31000</v>
      </c>
      <c r="J198" s="2">
        <v>14000</v>
      </c>
      <c r="K198" s="2">
        <v>620</v>
      </c>
      <c r="L198" s="2">
        <v>530</v>
      </c>
      <c r="M198" s="2">
        <v>197</v>
      </c>
      <c r="N198" s="2">
        <v>24</v>
      </c>
      <c r="O198" s="18">
        <v>11</v>
      </c>
      <c r="P198" s="2"/>
      <c r="Q198" s="2"/>
      <c r="R198" s="2">
        <v>88</v>
      </c>
      <c r="S198" s="31">
        <v>788000</v>
      </c>
      <c r="T198" s="2">
        <v>77000</v>
      </c>
      <c r="U198" s="18">
        <v>1.8</v>
      </c>
      <c r="V198" s="2">
        <v>2280</v>
      </c>
      <c r="W198" s="2">
        <v>390</v>
      </c>
      <c r="X198" s="48">
        <v>0.18</v>
      </c>
      <c r="Y198" s="2">
        <v>17300</v>
      </c>
      <c r="Z198" s="2">
        <v>3200</v>
      </c>
      <c r="AA198" s="18">
        <v>0.33</v>
      </c>
    </row>
    <row r="199" spans="1:36" s="19" customFormat="1" x14ac:dyDescent="0.25">
      <c r="A199" s="12" t="s">
        <v>26</v>
      </c>
      <c r="B199" s="13">
        <v>1</v>
      </c>
      <c r="C199" s="12" t="s">
        <v>78</v>
      </c>
      <c r="D199" s="29">
        <v>44719</v>
      </c>
      <c r="E199" s="12">
        <v>508000</v>
      </c>
      <c r="F199" s="12">
        <v>50000</v>
      </c>
      <c r="G199" s="12">
        <v>240</v>
      </c>
      <c r="H199" s="12">
        <v>950</v>
      </c>
      <c r="I199" s="12">
        <v>-31000</v>
      </c>
      <c r="J199" s="12">
        <v>12000</v>
      </c>
      <c r="K199" s="12">
        <v>0</v>
      </c>
      <c r="L199" s="12">
        <v>140</v>
      </c>
      <c r="M199" s="12">
        <v>137</v>
      </c>
      <c r="N199" s="12">
        <v>13</v>
      </c>
      <c r="O199" s="15">
        <v>2.2000000000000002</v>
      </c>
      <c r="P199" s="12">
        <v>82</v>
      </c>
      <c r="Q199" s="12">
        <v>13</v>
      </c>
      <c r="R199" s="12">
        <v>15</v>
      </c>
      <c r="S199" s="27">
        <v>508000</v>
      </c>
      <c r="T199" s="12">
        <v>36000</v>
      </c>
      <c r="U199" s="15">
        <v>0.39</v>
      </c>
      <c r="V199" s="12">
        <v>167</v>
      </c>
      <c r="W199" s="12">
        <v>16</v>
      </c>
      <c r="X199" s="49">
        <v>5.5E-2</v>
      </c>
      <c r="Y199" s="12">
        <v>10340</v>
      </c>
      <c r="Z199" s="12">
        <v>880</v>
      </c>
      <c r="AA199" s="15">
        <v>0.45</v>
      </c>
      <c r="AH199" s="41"/>
      <c r="AI199" s="41"/>
      <c r="AJ199" s="41"/>
    </row>
    <row r="200" spans="1:36" s="19" customFormat="1" x14ac:dyDescent="0.25">
      <c r="A200" s="12" t="s">
        <v>26</v>
      </c>
      <c r="B200" s="13">
        <v>2</v>
      </c>
      <c r="C200" s="12" t="s">
        <v>79</v>
      </c>
      <c r="D200" s="29">
        <v>44719</v>
      </c>
      <c r="E200" s="12">
        <v>505000</v>
      </c>
      <c r="F200" s="12">
        <v>42000</v>
      </c>
      <c r="G200" s="12">
        <v>300</v>
      </c>
      <c r="H200" s="12">
        <v>890</v>
      </c>
      <c r="I200" s="12">
        <v>-30000</v>
      </c>
      <c r="J200" s="12">
        <v>14000</v>
      </c>
      <c r="K200" s="12">
        <v>10</v>
      </c>
      <c r="L200" s="12">
        <v>160</v>
      </c>
      <c r="M200" s="12">
        <v>182</v>
      </c>
      <c r="N200" s="12">
        <v>17</v>
      </c>
      <c r="O200" s="15">
        <v>2.6</v>
      </c>
      <c r="P200" s="12">
        <v>84</v>
      </c>
      <c r="Q200" s="12">
        <v>15</v>
      </c>
      <c r="R200" s="12">
        <v>17</v>
      </c>
      <c r="S200" s="27">
        <v>546000</v>
      </c>
      <c r="T200" s="12">
        <v>40000</v>
      </c>
      <c r="U200" s="15">
        <v>1.6</v>
      </c>
      <c r="V200" s="12">
        <v>233</v>
      </c>
      <c r="W200" s="12">
        <v>21</v>
      </c>
      <c r="X200" s="49">
        <v>6.2E-2</v>
      </c>
      <c r="Y200" s="12">
        <v>10700</v>
      </c>
      <c r="Z200" s="12">
        <v>1100</v>
      </c>
      <c r="AA200" s="15">
        <v>0.78</v>
      </c>
      <c r="AH200" s="41"/>
      <c r="AI200" s="41"/>
      <c r="AJ200" s="41"/>
    </row>
    <row r="201" spans="1:36" s="19" customFormat="1" x14ac:dyDescent="0.25">
      <c r="A201" s="12" t="s">
        <v>26</v>
      </c>
      <c r="B201" s="13">
        <v>3</v>
      </c>
      <c r="C201" s="12" t="s">
        <v>124</v>
      </c>
      <c r="D201" s="29">
        <v>44719</v>
      </c>
      <c r="E201" s="12">
        <v>544000</v>
      </c>
      <c r="F201" s="12">
        <v>47000</v>
      </c>
      <c r="G201" s="12">
        <v>1100</v>
      </c>
      <c r="H201" s="12">
        <v>1400</v>
      </c>
      <c r="I201" s="12">
        <v>-90000</v>
      </c>
      <c r="J201" s="12">
        <v>16000</v>
      </c>
      <c r="K201" s="12">
        <v>60</v>
      </c>
      <c r="L201" s="12">
        <v>230</v>
      </c>
      <c r="M201" s="12">
        <v>167</v>
      </c>
      <c r="N201" s="12">
        <v>27</v>
      </c>
      <c r="O201" s="15">
        <v>2.9</v>
      </c>
      <c r="P201" s="12">
        <v>82</v>
      </c>
      <c r="Q201" s="12">
        <v>15</v>
      </c>
      <c r="R201" s="12">
        <v>18</v>
      </c>
      <c r="S201" s="27">
        <v>659000</v>
      </c>
      <c r="T201" s="12">
        <v>83000</v>
      </c>
      <c r="U201" s="15">
        <v>0.74</v>
      </c>
      <c r="V201" s="12">
        <v>221</v>
      </c>
      <c r="W201" s="12">
        <v>27</v>
      </c>
      <c r="X201" s="49">
        <v>5.2999999999999999E-2</v>
      </c>
      <c r="Y201" s="12">
        <v>12500</v>
      </c>
      <c r="Z201" s="12">
        <v>1600</v>
      </c>
      <c r="AA201" s="15">
        <v>0.42</v>
      </c>
      <c r="AH201" s="41"/>
      <c r="AI201" s="41"/>
      <c r="AJ201" s="41"/>
    </row>
    <row r="202" spans="1:36" s="19" customFormat="1" x14ac:dyDescent="0.25">
      <c r="A202" s="12" t="s">
        <v>26</v>
      </c>
      <c r="B202" s="13">
        <v>4</v>
      </c>
      <c r="C202" s="12" t="s">
        <v>101</v>
      </c>
      <c r="D202" s="29">
        <v>44719</v>
      </c>
      <c r="E202" s="12">
        <v>450000</v>
      </c>
      <c r="F202" s="12">
        <v>36000</v>
      </c>
      <c r="G202" s="12">
        <v>-320</v>
      </c>
      <c r="H202" s="12">
        <v>860</v>
      </c>
      <c r="I202" s="12">
        <v>40000</v>
      </c>
      <c r="J202" s="12">
        <v>12000</v>
      </c>
      <c r="K202" s="12">
        <v>0</v>
      </c>
      <c r="L202" s="12">
        <v>100</v>
      </c>
      <c r="M202" s="12">
        <v>127.3</v>
      </c>
      <c r="N202" s="12">
        <v>9.1</v>
      </c>
      <c r="O202" s="15">
        <v>2.5</v>
      </c>
      <c r="P202" s="12">
        <v>97</v>
      </c>
      <c r="Q202" s="12">
        <v>13</v>
      </c>
      <c r="R202" s="12">
        <v>15</v>
      </c>
      <c r="S202" s="27">
        <v>504000</v>
      </c>
      <c r="T202" s="12">
        <v>36000</v>
      </c>
      <c r="U202" s="15">
        <v>0.28000000000000003</v>
      </c>
      <c r="V202" s="12">
        <v>208</v>
      </c>
      <c r="W202" s="12">
        <v>17</v>
      </c>
      <c r="X202" s="49">
        <v>5.8999999999999997E-2</v>
      </c>
      <c r="Y202" s="12">
        <v>10640</v>
      </c>
      <c r="Z202" s="12">
        <v>950</v>
      </c>
      <c r="AA202" s="15">
        <v>0.4</v>
      </c>
      <c r="AH202" s="41"/>
      <c r="AI202" s="41"/>
      <c r="AJ202" s="41"/>
    </row>
    <row r="203" spans="1:36" s="19" customFormat="1" x14ac:dyDescent="0.25">
      <c r="A203" s="12" t="s">
        <v>26</v>
      </c>
      <c r="B203" s="13">
        <v>5</v>
      </c>
      <c r="C203" s="12" t="s">
        <v>102</v>
      </c>
      <c r="D203" s="29">
        <v>44719</v>
      </c>
      <c r="E203" s="12">
        <v>374000</v>
      </c>
      <c r="F203" s="12">
        <v>25000</v>
      </c>
      <c r="G203" s="12">
        <v>50</v>
      </c>
      <c r="H203" s="12">
        <v>670</v>
      </c>
      <c r="I203" s="12">
        <v>-7800</v>
      </c>
      <c r="J203" s="12">
        <v>8900</v>
      </c>
      <c r="K203" s="12">
        <v>120</v>
      </c>
      <c r="L203" s="12">
        <v>120</v>
      </c>
      <c r="M203" s="12">
        <v>163</v>
      </c>
      <c r="N203" s="12">
        <v>11</v>
      </c>
      <c r="O203" s="15">
        <v>2.2999999999999998</v>
      </c>
      <c r="P203" s="12">
        <v>92</v>
      </c>
      <c r="Q203" s="12">
        <v>11</v>
      </c>
      <c r="R203" s="12">
        <v>15</v>
      </c>
      <c r="S203" s="27">
        <v>466000</v>
      </c>
      <c r="T203" s="12">
        <v>30000</v>
      </c>
      <c r="U203" s="15">
        <v>0.34</v>
      </c>
      <c r="V203" s="12">
        <v>427</v>
      </c>
      <c r="W203" s="12">
        <v>34</v>
      </c>
      <c r="X203" s="49">
        <v>5.7000000000000002E-2</v>
      </c>
      <c r="Y203" s="12">
        <v>8620</v>
      </c>
      <c r="Z203" s="12">
        <v>560</v>
      </c>
      <c r="AA203" s="15">
        <v>0.45</v>
      </c>
      <c r="AH203" s="41"/>
      <c r="AI203" s="41"/>
      <c r="AJ203" s="41"/>
    </row>
    <row r="204" spans="1:36" s="19" customFormat="1" x14ac:dyDescent="0.25">
      <c r="A204" s="12" t="s">
        <v>26</v>
      </c>
      <c r="B204" s="13">
        <v>6</v>
      </c>
      <c r="C204" s="12" t="s">
        <v>103</v>
      </c>
      <c r="D204" s="29">
        <v>44719</v>
      </c>
      <c r="E204" s="12">
        <v>459000</v>
      </c>
      <c r="F204" s="12">
        <v>37000</v>
      </c>
      <c r="G204" s="12">
        <v>740</v>
      </c>
      <c r="H204" s="12">
        <v>760</v>
      </c>
      <c r="I204" s="12">
        <v>-80000</v>
      </c>
      <c r="J204" s="12">
        <v>12000</v>
      </c>
      <c r="K204" s="12">
        <v>0</v>
      </c>
      <c r="L204" s="12">
        <v>150</v>
      </c>
      <c r="M204" s="12">
        <v>153</v>
      </c>
      <c r="N204" s="12">
        <v>13</v>
      </c>
      <c r="O204" s="15">
        <v>2.5</v>
      </c>
      <c r="P204" s="12">
        <v>127</v>
      </c>
      <c r="Q204" s="12">
        <v>17</v>
      </c>
      <c r="R204" s="12">
        <v>17</v>
      </c>
      <c r="S204" s="27">
        <v>591000</v>
      </c>
      <c r="T204" s="12">
        <v>46000</v>
      </c>
      <c r="U204" s="15">
        <v>0.36</v>
      </c>
      <c r="V204" s="12">
        <v>457</v>
      </c>
      <c r="W204" s="12">
        <v>41</v>
      </c>
      <c r="X204" s="49">
        <v>5.6000000000000001E-2</v>
      </c>
      <c r="Y204" s="12">
        <v>10630</v>
      </c>
      <c r="Z204" s="12">
        <v>870</v>
      </c>
      <c r="AA204" s="15">
        <v>0.5</v>
      </c>
      <c r="AH204" s="41"/>
      <c r="AI204" s="41"/>
      <c r="AJ204" s="41"/>
    </row>
    <row r="205" spans="1:36" s="19" customFormat="1" x14ac:dyDescent="0.25">
      <c r="A205" s="12" t="s">
        <v>26</v>
      </c>
      <c r="B205" s="13">
        <v>7</v>
      </c>
      <c r="C205" s="12" t="s">
        <v>125</v>
      </c>
      <c r="D205" s="29">
        <v>44719</v>
      </c>
      <c r="E205" s="12">
        <v>388000</v>
      </c>
      <c r="F205" s="12">
        <v>28000</v>
      </c>
      <c r="G205" s="12">
        <v>-150</v>
      </c>
      <c r="H205" s="12">
        <v>700</v>
      </c>
      <c r="I205" s="12">
        <v>-4500</v>
      </c>
      <c r="J205" s="12">
        <v>7400</v>
      </c>
      <c r="K205" s="12">
        <v>-5</v>
      </c>
      <c r="L205" s="12">
        <v>92</v>
      </c>
      <c r="M205" s="12">
        <v>153</v>
      </c>
      <c r="N205" s="12">
        <v>13</v>
      </c>
      <c r="O205" s="15">
        <v>2.2999999999999998</v>
      </c>
      <c r="P205" s="12">
        <v>78</v>
      </c>
      <c r="Q205" s="12">
        <v>10</v>
      </c>
      <c r="R205" s="12">
        <v>17</v>
      </c>
      <c r="S205" s="27">
        <v>453000</v>
      </c>
      <c r="T205" s="12">
        <v>31000</v>
      </c>
      <c r="U205" s="15">
        <v>0.6</v>
      </c>
      <c r="V205" s="12">
        <v>419</v>
      </c>
      <c r="W205" s="12">
        <v>24</v>
      </c>
      <c r="X205" s="49">
        <v>6.9000000000000006E-2</v>
      </c>
      <c r="Y205" s="12">
        <v>9210</v>
      </c>
      <c r="Z205" s="12">
        <v>710</v>
      </c>
      <c r="AA205" s="15">
        <v>0.39</v>
      </c>
      <c r="AH205" s="41"/>
      <c r="AI205" s="41"/>
      <c r="AJ205" s="41"/>
    </row>
    <row r="206" spans="1:36" s="19" customFormat="1" x14ac:dyDescent="0.25">
      <c r="A206" s="12" t="s">
        <v>26</v>
      </c>
      <c r="B206" s="13">
        <v>8</v>
      </c>
      <c r="C206" s="12" t="s">
        <v>104</v>
      </c>
      <c r="D206" s="29">
        <v>44719</v>
      </c>
      <c r="E206" s="12">
        <v>474000</v>
      </c>
      <c r="F206" s="12">
        <v>39000</v>
      </c>
      <c r="G206" s="12">
        <v>-260</v>
      </c>
      <c r="H206" s="12">
        <v>730</v>
      </c>
      <c r="I206" s="12">
        <v>10000</v>
      </c>
      <c r="J206" s="12">
        <v>14000</v>
      </c>
      <c r="K206" s="12">
        <v>-50</v>
      </c>
      <c r="L206" s="12">
        <v>120</v>
      </c>
      <c r="M206" s="12">
        <v>156</v>
      </c>
      <c r="N206" s="12">
        <v>15</v>
      </c>
      <c r="O206" s="15">
        <v>2.7</v>
      </c>
      <c r="P206" s="12">
        <v>103</v>
      </c>
      <c r="Q206" s="12">
        <v>18</v>
      </c>
      <c r="R206" s="12">
        <v>16</v>
      </c>
      <c r="S206" s="27">
        <v>593000</v>
      </c>
      <c r="T206" s="12">
        <v>57000</v>
      </c>
      <c r="U206" s="15">
        <v>0.64</v>
      </c>
      <c r="V206" s="12">
        <v>299</v>
      </c>
      <c r="W206" s="12">
        <v>25</v>
      </c>
      <c r="X206" s="49">
        <v>5.7000000000000002E-2</v>
      </c>
      <c r="Y206" s="12">
        <v>10980</v>
      </c>
      <c r="Z206" s="12">
        <v>990</v>
      </c>
      <c r="AA206" s="15">
        <v>0.39</v>
      </c>
      <c r="AH206" s="41"/>
      <c r="AI206" s="41"/>
      <c r="AJ206" s="41"/>
    </row>
    <row r="207" spans="1:36" s="19" customFormat="1" x14ac:dyDescent="0.25">
      <c r="A207" s="12" t="s">
        <v>26</v>
      </c>
      <c r="B207" s="13">
        <v>9</v>
      </c>
      <c r="C207" s="12" t="s">
        <v>105</v>
      </c>
      <c r="D207" s="29">
        <v>44719</v>
      </c>
      <c r="E207" s="12">
        <v>458000</v>
      </c>
      <c r="F207" s="12">
        <v>35000</v>
      </c>
      <c r="G207" s="12">
        <v>710</v>
      </c>
      <c r="H207" s="12">
        <v>910</v>
      </c>
      <c r="I207" s="12">
        <v>-1000</v>
      </c>
      <c r="J207" s="12">
        <v>12000</v>
      </c>
      <c r="K207" s="12">
        <v>60</v>
      </c>
      <c r="L207" s="12">
        <v>140</v>
      </c>
      <c r="M207" s="12">
        <v>170</v>
      </c>
      <c r="N207" s="12">
        <v>17</v>
      </c>
      <c r="O207" s="15">
        <v>2.6</v>
      </c>
      <c r="P207" s="12">
        <v>78</v>
      </c>
      <c r="Q207" s="12">
        <v>11</v>
      </c>
      <c r="R207" s="12">
        <v>15</v>
      </c>
      <c r="S207" s="27">
        <v>523000</v>
      </c>
      <c r="T207" s="12">
        <v>44000</v>
      </c>
      <c r="U207" s="15">
        <v>0.27</v>
      </c>
      <c r="V207" s="12">
        <v>347</v>
      </c>
      <c r="W207" s="12">
        <v>38</v>
      </c>
      <c r="X207" s="49">
        <v>6.3E-2</v>
      </c>
      <c r="Y207" s="12">
        <v>9920</v>
      </c>
      <c r="Z207" s="12">
        <v>950</v>
      </c>
      <c r="AA207" s="15">
        <v>0.39</v>
      </c>
      <c r="AH207" s="41"/>
      <c r="AI207" s="41"/>
      <c r="AJ207" s="41"/>
    </row>
    <row r="208" spans="1:36" s="19" customFormat="1" x14ac:dyDescent="0.25">
      <c r="A208" s="12" t="s">
        <v>26</v>
      </c>
      <c r="B208" s="13">
        <v>10</v>
      </c>
      <c r="C208" s="12" t="s">
        <v>106</v>
      </c>
      <c r="D208" s="29">
        <v>44719</v>
      </c>
      <c r="E208" s="12">
        <v>538000</v>
      </c>
      <c r="F208" s="12">
        <v>43000</v>
      </c>
      <c r="G208" s="12">
        <v>900</v>
      </c>
      <c r="H208" s="12">
        <v>680</v>
      </c>
      <c r="I208" s="12">
        <v>-60000</v>
      </c>
      <c r="J208" s="12">
        <v>14000</v>
      </c>
      <c r="K208" s="12">
        <v>-70</v>
      </c>
      <c r="L208" s="12">
        <v>170</v>
      </c>
      <c r="M208" s="12">
        <v>167</v>
      </c>
      <c r="N208" s="12">
        <v>18</v>
      </c>
      <c r="O208" s="15">
        <v>2.8</v>
      </c>
      <c r="P208" s="12">
        <v>86</v>
      </c>
      <c r="Q208" s="12">
        <v>19</v>
      </c>
      <c r="R208" s="12">
        <v>16</v>
      </c>
      <c r="S208" s="27">
        <v>603000</v>
      </c>
      <c r="T208" s="12">
        <v>62000</v>
      </c>
      <c r="U208" s="15">
        <v>0.28999999999999998</v>
      </c>
      <c r="V208" s="12">
        <v>280</v>
      </c>
      <c r="W208" s="12">
        <v>38</v>
      </c>
      <c r="X208" s="49">
        <v>6.8000000000000005E-2</v>
      </c>
      <c r="Y208" s="12">
        <v>10800</v>
      </c>
      <c r="Z208" s="12">
        <v>1300</v>
      </c>
      <c r="AA208" s="15">
        <v>0.42</v>
      </c>
      <c r="AH208" s="41"/>
      <c r="AI208" s="41"/>
      <c r="AJ208" s="41"/>
    </row>
    <row r="209" spans="1:36" s="19" customFormat="1" x14ac:dyDescent="0.25">
      <c r="A209" s="12" t="s">
        <v>26</v>
      </c>
      <c r="B209" s="13">
        <v>11</v>
      </c>
      <c r="C209" s="12" t="s">
        <v>131</v>
      </c>
      <c r="D209" s="29">
        <v>44719</v>
      </c>
      <c r="E209" s="12">
        <v>437000</v>
      </c>
      <c r="F209" s="12">
        <v>37000</v>
      </c>
      <c r="G209" s="12">
        <v>-240</v>
      </c>
      <c r="H209" s="12">
        <v>810</v>
      </c>
      <c r="I209" s="12">
        <v>2000</v>
      </c>
      <c r="J209" s="12">
        <v>9900</v>
      </c>
      <c r="K209" s="12">
        <v>-40</v>
      </c>
      <c r="L209" s="12">
        <v>100</v>
      </c>
      <c r="M209" s="12">
        <v>150</v>
      </c>
      <c r="N209" s="12">
        <v>14</v>
      </c>
      <c r="O209" s="15">
        <v>2.6</v>
      </c>
      <c r="P209" s="12">
        <v>125</v>
      </c>
      <c r="Q209" s="12">
        <v>16</v>
      </c>
      <c r="R209" s="12">
        <v>18</v>
      </c>
      <c r="S209" s="27">
        <v>515000</v>
      </c>
      <c r="T209" s="12">
        <v>38000</v>
      </c>
      <c r="U209" s="15">
        <v>0.6</v>
      </c>
      <c r="V209" s="12">
        <v>270</v>
      </c>
      <c r="W209" s="12">
        <v>24</v>
      </c>
      <c r="X209" s="49">
        <v>6.9000000000000006E-2</v>
      </c>
      <c r="Y209" s="12">
        <v>10360</v>
      </c>
      <c r="Z209" s="12">
        <v>910</v>
      </c>
      <c r="AA209" s="15">
        <v>0.5</v>
      </c>
      <c r="AH209" s="41"/>
      <c r="AI209" s="41"/>
      <c r="AJ209" s="41"/>
    </row>
    <row r="210" spans="1:36" s="19" customFormat="1" x14ac:dyDescent="0.25">
      <c r="A210" s="12" t="s">
        <v>26</v>
      </c>
      <c r="B210" s="13">
        <v>12</v>
      </c>
      <c r="C210" s="12" t="s">
        <v>132</v>
      </c>
      <c r="D210" s="29">
        <v>44719</v>
      </c>
      <c r="E210" s="12">
        <v>582000</v>
      </c>
      <c r="F210" s="12">
        <v>90000</v>
      </c>
      <c r="G210" s="12">
        <v>400</v>
      </c>
      <c r="H210" s="12">
        <v>1000</v>
      </c>
      <c r="I210" s="12">
        <v>13000</v>
      </c>
      <c r="J210" s="12">
        <v>22000</v>
      </c>
      <c r="K210" s="12">
        <v>-60</v>
      </c>
      <c r="L210" s="12">
        <v>360</v>
      </c>
      <c r="M210" s="12">
        <v>199</v>
      </c>
      <c r="N210" s="12">
        <v>45</v>
      </c>
      <c r="O210" s="15">
        <v>3.9</v>
      </c>
      <c r="P210" s="12">
        <v>123</v>
      </c>
      <c r="Q210" s="12">
        <v>36</v>
      </c>
      <c r="R210" s="12">
        <v>20</v>
      </c>
      <c r="S210" s="27">
        <v>680000</v>
      </c>
      <c r="T210" s="12">
        <v>130000</v>
      </c>
      <c r="U210" s="15">
        <v>0.6</v>
      </c>
      <c r="V210" s="12">
        <v>306</v>
      </c>
      <c r="W210" s="12">
        <v>51</v>
      </c>
      <c r="X210" s="49">
        <v>6.6000000000000003E-2</v>
      </c>
      <c r="Y210" s="12">
        <v>13300</v>
      </c>
      <c r="Z210" s="12">
        <v>2400</v>
      </c>
      <c r="AA210" s="15">
        <v>0.61</v>
      </c>
      <c r="AH210" s="41"/>
      <c r="AI210" s="41"/>
      <c r="AJ210" s="41"/>
    </row>
    <row r="211" spans="1:36" s="19" customFormat="1" x14ac:dyDescent="0.25">
      <c r="A211" s="12" t="s">
        <v>26</v>
      </c>
      <c r="B211" s="13">
        <v>13</v>
      </c>
      <c r="C211" s="12" t="s">
        <v>133</v>
      </c>
      <c r="D211" s="29">
        <v>44719</v>
      </c>
      <c r="E211" s="12">
        <v>537000</v>
      </c>
      <c r="F211" s="12">
        <v>59000</v>
      </c>
      <c r="G211" s="12">
        <v>300</v>
      </c>
      <c r="H211" s="12">
        <v>1200</v>
      </c>
      <c r="I211" s="12">
        <v>30000</v>
      </c>
      <c r="J211" s="12">
        <v>13000</v>
      </c>
      <c r="K211" s="12">
        <v>20</v>
      </c>
      <c r="L211" s="12">
        <v>180</v>
      </c>
      <c r="M211" s="12">
        <v>183</v>
      </c>
      <c r="N211" s="12">
        <v>27</v>
      </c>
      <c r="O211" s="15">
        <v>2.9</v>
      </c>
      <c r="P211" s="12">
        <v>95</v>
      </c>
      <c r="Q211" s="12">
        <v>15</v>
      </c>
      <c r="R211" s="12">
        <v>19</v>
      </c>
      <c r="S211" s="27">
        <v>679000</v>
      </c>
      <c r="T211" s="12">
        <v>92000</v>
      </c>
      <c r="U211" s="15">
        <v>0.64</v>
      </c>
      <c r="V211" s="12">
        <v>317</v>
      </c>
      <c r="W211" s="12">
        <v>38</v>
      </c>
      <c r="X211" s="49">
        <v>6.6000000000000003E-2</v>
      </c>
      <c r="Y211" s="12">
        <v>12700</v>
      </c>
      <c r="Z211" s="12">
        <v>1700</v>
      </c>
      <c r="AA211" s="15">
        <v>0.4</v>
      </c>
      <c r="AH211" s="41"/>
      <c r="AI211" s="41"/>
      <c r="AJ211" s="41"/>
    </row>
    <row r="212" spans="1:36" s="19" customFormat="1" x14ac:dyDescent="0.25">
      <c r="A212" s="12" t="s">
        <v>26</v>
      </c>
      <c r="B212" s="13">
        <v>14</v>
      </c>
      <c r="C212" s="12" t="s">
        <v>134</v>
      </c>
      <c r="D212" s="29">
        <v>44719</v>
      </c>
      <c r="E212" s="12">
        <v>380000</v>
      </c>
      <c r="F212" s="12">
        <v>26000</v>
      </c>
      <c r="G212" s="12">
        <v>270</v>
      </c>
      <c r="H212" s="12">
        <v>650</v>
      </c>
      <c r="I212" s="12">
        <v>1600</v>
      </c>
      <c r="J212" s="12">
        <v>8100</v>
      </c>
      <c r="K212" s="12">
        <v>26</v>
      </c>
      <c r="L212" s="12">
        <v>92</v>
      </c>
      <c r="M212" s="12">
        <v>141</v>
      </c>
      <c r="N212" s="12">
        <v>11</v>
      </c>
      <c r="O212" s="15">
        <v>2.8</v>
      </c>
      <c r="P212" s="12">
        <v>115</v>
      </c>
      <c r="Q212" s="12">
        <v>11</v>
      </c>
      <c r="R212" s="12">
        <v>16</v>
      </c>
      <c r="S212" s="27">
        <v>491000</v>
      </c>
      <c r="T212" s="12">
        <v>35000</v>
      </c>
      <c r="U212" s="15">
        <v>0.4</v>
      </c>
      <c r="V212" s="12">
        <v>604</v>
      </c>
      <c r="W212" s="12">
        <v>51</v>
      </c>
      <c r="X212" s="49">
        <v>7.0000000000000007E-2</v>
      </c>
      <c r="Y212" s="12">
        <v>9870</v>
      </c>
      <c r="Z212" s="12">
        <v>750</v>
      </c>
      <c r="AA212" s="15">
        <v>0.46</v>
      </c>
      <c r="AH212" s="41"/>
      <c r="AI212" s="41"/>
      <c r="AJ212" s="41"/>
    </row>
    <row r="213" spans="1:36" s="19" customFormat="1" x14ac:dyDescent="0.25">
      <c r="A213" s="12" t="s">
        <v>26</v>
      </c>
      <c r="B213" s="13">
        <v>15</v>
      </c>
      <c r="C213" s="12" t="s">
        <v>135</v>
      </c>
      <c r="D213" s="29">
        <v>44719</v>
      </c>
      <c r="E213" s="12">
        <v>367000</v>
      </c>
      <c r="F213" s="12">
        <v>26000</v>
      </c>
      <c r="G213" s="12">
        <v>340</v>
      </c>
      <c r="H213" s="12">
        <v>580</v>
      </c>
      <c r="I213" s="12">
        <v>400</v>
      </c>
      <c r="J213" s="12">
        <v>7400</v>
      </c>
      <c r="K213" s="12">
        <v>31</v>
      </c>
      <c r="L213" s="12">
        <v>88</v>
      </c>
      <c r="M213" s="12">
        <v>146</v>
      </c>
      <c r="N213" s="12">
        <v>13</v>
      </c>
      <c r="O213" s="15">
        <v>2.9</v>
      </c>
      <c r="P213" s="12">
        <v>86</v>
      </c>
      <c r="Q213" s="12">
        <v>12</v>
      </c>
      <c r="R213" s="12">
        <v>18</v>
      </c>
      <c r="S213" s="27">
        <v>466000</v>
      </c>
      <c r="T213" s="12">
        <v>34000</v>
      </c>
      <c r="U213" s="15">
        <v>0.53</v>
      </c>
      <c r="V213" s="12">
        <v>346</v>
      </c>
      <c r="W213" s="12">
        <v>35</v>
      </c>
      <c r="X213" s="49">
        <v>6.4000000000000001E-2</v>
      </c>
      <c r="Y213" s="12">
        <v>8750</v>
      </c>
      <c r="Z213" s="12">
        <v>720</v>
      </c>
      <c r="AA213" s="15">
        <v>0.42</v>
      </c>
      <c r="AH213" s="41"/>
      <c r="AI213" s="41"/>
      <c r="AJ213" s="41"/>
    </row>
    <row r="214" spans="1:36" s="19" customFormat="1" x14ac:dyDescent="0.25">
      <c r="A214" s="12" t="s">
        <v>26</v>
      </c>
      <c r="B214" s="13">
        <v>16</v>
      </c>
      <c r="C214" s="12" t="s">
        <v>107</v>
      </c>
      <c r="D214" s="29">
        <v>44719</v>
      </c>
      <c r="E214" s="12">
        <v>434000</v>
      </c>
      <c r="F214" s="12">
        <v>37000</v>
      </c>
      <c r="G214" s="12">
        <v>-190</v>
      </c>
      <c r="H214" s="12">
        <v>860</v>
      </c>
      <c r="I214" s="12">
        <v>70000</v>
      </c>
      <c r="J214" s="12">
        <v>12000</v>
      </c>
      <c r="K214" s="12">
        <v>20</v>
      </c>
      <c r="L214" s="12">
        <v>130</v>
      </c>
      <c r="M214" s="12">
        <v>176</v>
      </c>
      <c r="N214" s="12">
        <v>18</v>
      </c>
      <c r="O214" s="15">
        <v>2.6</v>
      </c>
      <c r="P214" s="12">
        <v>69</v>
      </c>
      <c r="Q214" s="12">
        <v>12</v>
      </c>
      <c r="R214" s="12">
        <v>17</v>
      </c>
      <c r="S214" s="27">
        <v>532000</v>
      </c>
      <c r="T214" s="12">
        <v>51000</v>
      </c>
      <c r="U214" s="15">
        <v>0.36</v>
      </c>
      <c r="V214" s="12">
        <v>403</v>
      </c>
      <c r="W214" s="12">
        <v>37</v>
      </c>
      <c r="X214" s="49">
        <v>8.7999999999999995E-2</v>
      </c>
      <c r="Y214" s="12">
        <v>11800</v>
      </c>
      <c r="Z214" s="12">
        <v>1300</v>
      </c>
      <c r="AA214" s="15">
        <v>0.48</v>
      </c>
      <c r="AH214" s="41"/>
      <c r="AI214" s="41"/>
      <c r="AJ214" s="41"/>
    </row>
    <row r="215" spans="1:36" s="19" customFormat="1" x14ac:dyDescent="0.25">
      <c r="A215" s="12" t="s">
        <v>26</v>
      </c>
      <c r="B215" s="13">
        <v>17</v>
      </c>
      <c r="C215" s="12" t="s">
        <v>108</v>
      </c>
      <c r="D215" s="29">
        <v>44719</v>
      </c>
      <c r="E215" s="12">
        <v>467000</v>
      </c>
      <c r="F215" s="12">
        <v>43000</v>
      </c>
      <c r="G215" s="12">
        <v>-900</v>
      </c>
      <c r="H215" s="12">
        <v>1100</v>
      </c>
      <c r="I215" s="12">
        <v>-50000</v>
      </c>
      <c r="J215" s="12">
        <v>10000</v>
      </c>
      <c r="K215" s="12">
        <v>-50</v>
      </c>
      <c r="L215" s="12">
        <v>140</v>
      </c>
      <c r="M215" s="12">
        <v>179</v>
      </c>
      <c r="N215" s="12">
        <v>15</v>
      </c>
      <c r="O215" s="15">
        <v>3.1</v>
      </c>
      <c r="P215" s="12">
        <v>77</v>
      </c>
      <c r="Q215" s="12">
        <v>16</v>
      </c>
      <c r="R215" s="12">
        <v>16</v>
      </c>
      <c r="S215" s="27">
        <v>538000</v>
      </c>
      <c r="T215" s="12">
        <v>41000</v>
      </c>
      <c r="U215" s="15">
        <v>0.35</v>
      </c>
      <c r="V215" s="12">
        <v>448</v>
      </c>
      <c r="W215" s="12">
        <v>42</v>
      </c>
      <c r="X215" s="49">
        <v>6.9000000000000006E-2</v>
      </c>
      <c r="Y215" s="12">
        <v>11100</v>
      </c>
      <c r="Z215" s="12">
        <v>1100</v>
      </c>
      <c r="AA215" s="15">
        <v>0.37</v>
      </c>
      <c r="AH215" s="41"/>
      <c r="AI215" s="41"/>
      <c r="AJ215" s="41"/>
    </row>
    <row r="216" spans="1:36" x14ac:dyDescent="0.25">
      <c r="A216" s="2" t="s">
        <v>28</v>
      </c>
      <c r="B216" s="16">
        <v>1</v>
      </c>
      <c r="C216" s="2" t="s">
        <v>111</v>
      </c>
      <c r="D216" s="30">
        <v>44719</v>
      </c>
      <c r="E216" s="2">
        <v>548000</v>
      </c>
      <c r="F216" s="2">
        <v>62000</v>
      </c>
      <c r="G216" s="2">
        <v>-300</v>
      </c>
      <c r="H216" s="2">
        <v>1900</v>
      </c>
      <c r="I216" s="2">
        <v>40000</v>
      </c>
      <c r="J216" s="2">
        <v>24000</v>
      </c>
      <c r="K216" s="2">
        <v>150</v>
      </c>
      <c r="L216" s="2">
        <v>290</v>
      </c>
      <c r="M216" s="2">
        <v>141</v>
      </c>
      <c r="N216" s="2">
        <v>22</v>
      </c>
      <c r="O216" s="18">
        <v>4.0999999999999996</v>
      </c>
      <c r="P216" s="2">
        <v>139</v>
      </c>
      <c r="Q216" s="2">
        <v>25</v>
      </c>
      <c r="R216" s="2">
        <v>23</v>
      </c>
      <c r="S216" s="31">
        <v>720000</v>
      </c>
      <c r="T216" s="2">
        <v>180000</v>
      </c>
      <c r="U216" s="18">
        <v>0.46</v>
      </c>
      <c r="V216" s="2">
        <v>3590</v>
      </c>
      <c r="W216" s="2">
        <v>760</v>
      </c>
      <c r="X216" s="48">
        <v>0.16</v>
      </c>
      <c r="Y216" s="2">
        <v>17000</v>
      </c>
      <c r="Z216" s="2">
        <v>3000</v>
      </c>
      <c r="AA216" s="18">
        <v>0.68</v>
      </c>
    </row>
    <row r="217" spans="1:36" x14ac:dyDescent="0.25">
      <c r="A217" s="2" t="s">
        <v>28</v>
      </c>
      <c r="B217" s="16">
        <v>2</v>
      </c>
      <c r="C217" s="2" t="s">
        <v>113</v>
      </c>
      <c r="D217" s="30">
        <v>44719</v>
      </c>
      <c r="E217" s="2">
        <v>414000</v>
      </c>
      <c r="F217" s="2">
        <v>29000</v>
      </c>
      <c r="G217" s="2">
        <v>-200</v>
      </c>
      <c r="H217" s="2">
        <v>1100</v>
      </c>
      <c r="I217" s="2">
        <v>-4300</v>
      </c>
      <c r="J217" s="2">
        <v>8500</v>
      </c>
      <c r="K217" s="2">
        <v>20</v>
      </c>
      <c r="L217" s="2">
        <v>130</v>
      </c>
      <c r="M217" s="2">
        <v>153</v>
      </c>
      <c r="N217" s="2">
        <v>20</v>
      </c>
      <c r="O217" s="18">
        <v>3.6</v>
      </c>
      <c r="P217" s="2">
        <v>121</v>
      </c>
      <c r="Q217" s="2">
        <v>17</v>
      </c>
      <c r="R217" s="2">
        <v>18</v>
      </c>
      <c r="S217" s="31">
        <v>554000</v>
      </c>
      <c r="T217" s="2">
        <v>68000</v>
      </c>
      <c r="U217" s="18">
        <v>0.52</v>
      </c>
      <c r="V217" s="2">
        <v>2910</v>
      </c>
      <c r="W217" s="2">
        <v>360</v>
      </c>
      <c r="X217" s="48">
        <v>0.13</v>
      </c>
      <c r="Y217" s="2">
        <v>11900</v>
      </c>
      <c r="Z217" s="2">
        <v>1400</v>
      </c>
      <c r="AA217" s="18">
        <v>0.49</v>
      </c>
    </row>
    <row r="218" spans="1:36" x14ac:dyDescent="0.25">
      <c r="A218" s="2" t="s">
        <v>28</v>
      </c>
      <c r="B218" s="16">
        <v>3</v>
      </c>
      <c r="C218" s="2" t="s">
        <v>114</v>
      </c>
      <c r="D218" s="30">
        <v>44719</v>
      </c>
      <c r="E218" s="2">
        <v>432000</v>
      </c>
      <c r="F218" s="2">
        <v>33000</v>
      </c>
      <c r="G218" s="2">
        <v>-400</v>
      </c>
      <c r="H218" s="2">
        <v>820</v>
      </c>
      <c r="I218" s="2">
        <v>2200</v>
      </c>
      <c r="J218" s="2">
        <v>8600</v>
      </c>
      <c r="K218" s="2">
        <v>80</v>
      </c>
      <c r="L218" s="2">
        <v>110</v>
      </c>
      <c r="M218" s="2">
        <v>104</v>
      </c>
      <c r="N218" s="2">
        <v>11</v>
      </c>
      <c r="O218" s="18">
        <v>3</v>
      </c>
      <c r="P218" s="2">
        <v>128</v>
      </c>
      <c r="Q218" s="2">
        <v>17</v>
      </c>
      <c r="R218" s="2">
        <v>15</v>
      </c>
      <c r="S218" s="31">
        <v>596000</v>
      </c>
      <c r="T218" s="2">
        <v>76000</v>
      </c>
      <c r="U218" s="18">
        <v>0.43</v>
      </c>
      <c r="V218" s="2">
        <v>6010</v>
      </c>
      <c r="W218" s="2">
        <v>840</v>
      </c>
      <c r="X218" s="48">
        <v>0.12</v>
      </c>
      <c r="Y218" s="2">
        <v>11300</v>
      </c>
      <c r="Z218" s="2">
        <v>1300</v>
      </c>
      <c r="AA218" s="18">
        <v>0.35</v>
      </c>
    </row>
    <row r="219" spans="1:36" x14ac:dyDescent="0.25">
      <c r="A219" s="2" t="s">
        <v>28</v>
      </c>
      <c r="B219" s="16">
        <v>4</v>
      </c>
      <c r="C219" s="2" t="s">
        <v>117</v>
      </c>
      <c r="D219" s="30">
        <v>44719</v>
      </c>
      <c r="E219" s="2">
        <v>380000</v>
      </c>
      <c r="F219" s="2">
        <v>26000</v>
      </c>
      <c r="G219" s="2">
        <v>170</v>
      </c>
      <c r="H219" s="2">
        <v>870</v>
      </c>
      <c r="I219" s="2">
        <v>0</v>
      </c>
      <c r="J219" s="2">
        <v>12000</v>
      </c>
      <c r="K219" s="2">
        <v>-120</v>
      </c>
      <c r="L219" s="2">
        <v>130</v>
      </c>
      <c r="M219" s="2">
        <v>144</v>
      </c>
      <c r="N219" s="2">
        <v>17</v>
      </c>
      <c r="O219" s="18">
        <v>3.8</v>
      </c>
      <c r="P219" s="2">
        <v>155</v>
      </c>
      <c r="Q219" s="2">
        <v>17</v>
      </c>
      <c r="R219" s="2">
        <v>21</v>
      </c>
      <c r="S219" s="31">
        <v>760000</v>
      </c>
      <c r="T219" s="2">
        <v>110000</v>
      </c>
      <c r="U219" s="18">
        <v>0.57999999999999996</v>
      </c>
      <c r="V219" s="2">
        <v>5070</v>
      </c>
      <c r="W219" s="2">
        <v>620</v>
      </c>
      <c r="X219" s="48">
        <v>0.18</v>
      </c>
      <c r="Y219" s="2">
        <v>12300</v>
      </c>
      <c r="Z219" s="2">
        <v>1300</v>
      </c>
      <c r="AA219" s="18">
        <v>0.5</v>
      </c>
    </row>
    <row r="220" spans="1:36" x14ac:dyDescent="0.25">
      <c r="A220" s="2" t="s">
        <v>28</v>
      </c>
      <c r="B220" s="16">
        <v>5</v>
      </c>
      <c r="C220" s="2" t="s">
        <v>142</v>
      </c>
      <c r="D220" s="30">
        <v>44719</v>
      </c>
      <c r="E220" s="2">
        <v>561000</v>
      </c>
      <c r="F220" s="2">
        <v>67000</v>
      </c>
      <c r="G220" s="2">
        <v>-100</v>
      </c>
      <c r="H220" s="2">
        <v>1400</v>
      </c>
      <c r="I220" s="2">
        <v>10000</v>
      </c>
      <c r="J220" s="2">
        <v>13000</v>
      </c>
      <c r="K220" s="2">
        <v>150</v>
      </c>
      <c r="L220" s="2">
        <v>210</v>
      </c>
      <c r="M220" s="2">
        <v>108</v>
      </c>
      <c r="N220" s="2">
        <v>20</v>
      </c>
      <c r="O220" s="18">
        <v>3.6</v>
      </c>
      <c r="P220" s="2">
        <v>132</v>
      </c>
      <c r="Q220" s="2">
        <v>24</v>
      </c>
      <c r="R220" s="2">
        <v>19</v>
      </c>
      <c r="S220" s="31">
        <v>610000</v>
      </c>
      <c r="T220" s="2">
        <v>110000</v>
      </c>
      <c r="U220" s="18">
        <v>0.9</v>
      </c>
      <c r="V220" s="2">
        <v>5600</v>
      </c>
      <c r="W220" s="2">
        <v>1100</v>
      </c>
      <c r="X220" s="48">
        <v>0.15</v>
      </c>
      <c r="Y220" s="2">
        <v>10200</v>
      </c>
      <c r="Z220" s="2">
        <v>1600</v>
      </c>
      <c r="AA220" s="18">
        <v>0.55000000000000004</v>
      </c>
    </row>
    <row r="221" spans="1:36" x14ac:dyDescent="0.25">
      <c r="A221" s="2" t="s">
        <v>28</v>
      </c>
      <c r="B221" s="16">
        <v>6</v>
      </c>
      <c r="C221" s="2" t="s">
        <v>157</v>
      </c>
      <c r="D221" s="30">
        <v>44719</v>
      </c>
      <c r="E221" s="2">
        <v>484000</v>
      </c>
      <c r="F221" s="2">
        <v>46000</v>
      </c>
      <c r="G221" s="2">
        <v>-500</v>
      </c>
      <c r="H221" s="2">
        <v>870</v>
      </c>
      <c r="I221" s="2">
        <v>1000</v>
      </c>
      <c r="J221" s="2">
        <v>11000</v>
      </c>
      <c r="K221" s="2">
        <v>-20</v>
      </c>
      <c r="L221" s="2">
        <v>130</v>
      </c>
      <c r="M221" s="2">
        <v>123</v>
      </c>
      <c r="N221" s="2">
        <v>14</v>
      </c>
      <c r="O221" s="18">
        <v>3.4</v>
      </c>
      <c r="P221" s="2">
        <v>112</v>
      </c>
      <c r="Q221" s="2">
        <v>19</v>
      </c>
      <c r="R221" s="2">
        <v>17</v>
      </c>
      <c r="S221" s="31">
        <v>581000</v>
      </c>
      <c r="T221" s="2">
        <v>80000</v>
      </c>
      <c r="U221" s="18">
        <v>0.49</v>
      </c>
      <c r="V221" s="2">
        <v>4520</v>
      </c>
      <c r="W221" s="2">
        <v>640</v>
      </c>
      <c r="X221" s="48">
        <v>0.14000000000000001</v>
      </c>
      <c r="Y221" s="2">
        <v>11000</v>
      </c>
      <c r="Z221" s="2">
        <v>1700</v>
      </c>
      <c r="AA221" s="18">
        <v>0.38</v>
      </c>
    </row>
    <row r="222" spans="1:36" x14ac:dyDescent="0.25">
      <c r="A222" s="2" t="s">
        <v>28</v>
      </c>
      <c r="B222" s="16">
        <v>7</v>
      </c>
      <c r="C222" s="2" t="s">
        <v>143</v>
      </c>
      <c r="D222" s="30">
        <v>44719</v>
      </c>
      <c r="E222" s="2">
        <v>560000</v>
      </c>
      <c r="F222" s="2">
        <v>120000</v>
      </c>
      <c r="G222" s="2">
        <v>-800</v>
      </c>
      <c r="H222" s="2">
        <v>2500</v>
      </c>
      <c r="I222" s="2">
        <v>25000</v>
      </c>
      <c r="J222" s="2">
        <v>24000</v>
      </c>
      <c r="K222" s="2">
        <v>70</v>
      </c>
      <c r="L222" s="2">
        <v>280</v>
      </c>
      <c r="M222" s="2">
        <v>105</v>
      </c>
      <c r="N222" s="2">
        <v>28</v>
      </c>
      <c r="O222" s="18">
        <v>4.4000000000000004</v>
      </c>
      <c r="P222" s="2">
        <v>101</v>
      </c>
      <c r="Q222" s="2">
        <v>42</v>
      </c>
      <c r="R222" s="2">
        <v>22</v>
      </c>
      <c r="S222" s="31">
        <v>700000</v>
      </c>
      <c r="T222" s="2">
        <v>230000</v>
      </c>
      <c r="U222" s="18">
        <v>0.47</v>
      </c>
      <c r="V222" s="2">
        <v>8700</v>
      </c>
      <c r="W222" s="2">
        <v>3700</v>
      </c>
      <c r="X222" s="48">
        <v>0.16</v>
      </c>
      <c r="Y222" s="2">
        <v>11900</v>
      </c>
      <c r="Z222" s="2">
        <v>3900</v>
      </c>
      <c r="AA222" s="18">
        <v>0.56999999999999995</v>
      </c>
    </row>
    <row r="223" spans="1:36" x14ac:dyDescent="0.25">
      <c r="A223" s="2" t="s">
        <v>28</v>
      </c>
      <c r="B223" s="16">
        <v>8</v>
      </c>
      <c r="C223" s="2" t="s">
        <v>158</v>
      </c>
      <c r="D223" s="30">
        <v>44719</v>
      </c>
      <c r="E223" s="2">
        <v>526000</v>
      </c>
      <c r="F223" s="2">
        <v>61000</v>
      </c>
      <c r="G223" s="2">
        <v>200</v>
      </c>
      <c r="H223" s="2">
        <v>1300</v>
      </c>
      <c r="I223" s="2">
        <v>-17000</v>
      </c>
      <c r="J223" s="2">
        <v>15000</v>
      </c>
      <c r="K223" s="2">
        <v>-60</v>
      </c>
      <c r="L223" s="2">
        <v>140</v>
      </c>
      <c r="M223" s="2">
        <v>124</v>
      </c>
      <c r="N223" s="2">
        <v>27</v>
      </c>
      <c r="O223" s="18">
        <v>3.5</v>
      </c>
      <c r="P223" s="2">
        <v>126</v>
      </c>
      <c r="Q223" s="2">
        <v>25</v>
      </c>
      <c r="R223" s="2">
        <v>16</v>
      </c>
      <c r="S223" s="31">
        <v>610000</v>
      </c>
      <c r="T223" s="2">
        <v>130000</v>
      </c>
      <c r="U223" s="18">
        <v>0.5</v>
      </c>
      <c r="V223" s="2">
        <v>4650</v>
      </c>
      <c r="W223" s="2">
        <v>800</v>
      </c>
      <c r="X223" s="48">
        <v>0.13</v>
      </c>
      <c r="Y223" s="2">
        <v>10900</v>
      </c>
      <c r="Z223" s="2">
        <v>1800</v>
      </c>
      <c r="AA223" s="18">
        <v>0.39</v>
      </c>
    </row>
    <row r="224" spans="1:36" x14ac:dyDescent="0.25">
      <c r="A224" s="2" t="s">
        <v>28</v>
      </c>
      <c r="B224" s="16">
        <v>9</v>
      </c>
      <c r="C224" s="2" t="s">
        <v>144</v>
      </c>
      <c r="D224" s="30">
        <v>44719</v>
      </c>
      <c r="E224" s="2">
        <v>569000</v>
      </c>
      <c r="F224" s="2">
        <v>73000</v>
      </c>
      <c r="G224" s="2">
        <v>800</v>
      </c>
      <c r="H224" s="2">
        <v>1400</v>
      </c>
      <c r="I224" s="2">
        <v>-11000</v>
      </c>
      <c r="J224" s="2">
        <v>14000</v>
      </c>
      <c r="K224" s="2">
        <v>-60</v>
      </c>
      <c r="L224" s="2">
        <v>260</v>
      </c>
      <c r="M224" s="2">
        <v>91</v>
      </c>
      <c r="N224" s="2">
        <v>17</v>
      </c>
      <c r="O224" s="18">
        <v>3.9</v>
      </c>
      <c r="P224" s="2">
        <v>101</v>
      </c>
      <c r="Q224" s="2">
        <v>13</v>
      </c>
      <c r="R224" s="2">
        <v>18</v>
      </c>
      <c r="S224" s="31">
        <v>680000</v>
      </c>
      <c r="T224" s="2">
        <v>170000</v>
      </c>
      <c r="U224" s="18">
        <v>0.48</v>
      </c>
      <c r="V224" s="2">
        <v>4900</v>
      </c>
      <c r="W224" s="2">
        <v>1100</v>
      </c>
      <c r="X224" s="48">
        <v>0.17</v>
      </c>
      <c r="Y224" s="2">
        <v>10100</v>
      </c>
      <c r="Z224" s="2">
        <v>1800</v>
      </c>
      <c r="AA224" s="18">
        <v>0.42</v>
      </c>
    </row>
    <row r="225" spans="1:36" x14ac:dyDescent="0.25">
      <c r="A225" s="2" t="s">
        <v>28</v>
      </c>
      <c r="B225" s="16">
        <v>10</v>
      </c>
      <c r="C225" s="2" t="s">
        <v>145</v>
      </c>
      <c r="D225" s="30">
        <v>44719</v>
      </c>
      <c r="E225" s="2">
        <v>506000</v>
      </c>
      <c r="F225" s="2">
        <v>65000</v>
      </c>
      <c r="G225" s="2">
        <v>800</v>
      </c>
      <c r="H225" s="2">
        <v>1300</v>
      </c>
      <c r="I225" s="2">
        <v>-20000</v>
      </c>
      <c r="J225" s="2">
        <v>15000</v>
      </c>
      <c r="K225" s="2">
        <v>-40</v>
      </c>
      <c r="L225" s="2">
        <v>180</v>
      </c>
      <c r="M225" s="2">
        <v>120</v>
      </c>
      <c r="N225" s="2">
        <v>17</v>
      </c>
      <c r="O225" s="18">
        <v>3.7</v>
      </c>
      <c r="P225" s="2">
        <v>136</v>
      </c>
      <c r="Q225" s="2">
        <v>26</v>
      </c>
      <c r="R225" s="2">
        <v>18</v>
      </c>
      <c r="S225" s="31">
        <v>710000</v>
      </c>
      <c r="T225" s="2">
        <v>140000</v>
      </c>
      <c r="U225" s="18">
        <v>0.53</v>
      </c>
      <c r="V225" s="2">
        <v>4920</v>
      </c>
      <c r="W225" s="2">
        <v>970</v>
      </c>
      <c r="X225" s="48">
        <v>9.1999999999999998E-2</v>
      </c>
      <c r="Y225" s="2">
        <v>12200</v>
      </c>
      <c r="Z225" s="2">
        <v>2000</v>
      </c>
      <c r="AA225" s="18">
        <v>0.39</v>
      </c>
    </row>
    <row r="226" spans="1:36" x14ac:dyDescent="0.25">
      <c r="A226" s="2" t="s">
        <v>28</v>
      </c>
      <c r="B226" s="16">
        <v>11</v>
      </c>
      <c r="C226" s="2" t="s">
        <v>146</v>
      </c>
      <c r="D226" s="30">
        <v>44719</v>
      </c>
      <c r="E226" s="2">
        <v>491000</v>
      </c>
      <c r="F226" s="2">
        <v>53000</v>
      </c>
      <c r="G226" s="2">
        <v>1200</v>
      </c>
      <c r="H226" s="2">
        <v>1100</v>
      </c>
      <c r="I226" s="2">
        <v>0</v>
      </c>
      <c r="J226" s="2">
        <v>15000</v>
      </c>
      <c r="K226" s="2">
        <v>110</v>
      </c>
      <c r="L226" s="2">
        <v>170</v>
      </c>
      <c r="M226" s="2">
        <v>145</v>
      </c>
      <c r="N226" s="2">
        <v>20</v>
      </c>
      <c r="O226" s="18">
        <v>3.4</v>
      </c>
      <c r="P226" s="2">
        <v>136</v>
      </c>
      <c r="Q226" s="2">
        <v>20</v>
      </c>
      <c r="R226" s="2">
        <v>16</v>
      </c>
      <c r="S226" s="31">
        <v>710000</v>
      </c>
      <c r="T226" s="2">
        <v>140000</v>
      </c>
      <c r="U226" s="18">
        <v>0.62</v>
      </c>
      <c r="V226" s="2">
        <v>3210</v>
      </c>
      <c r="W226" s="2">
        <v>440</v>
      </c>
      <c r="X226" s="48">
        <v>0.14000000000000001</v>
      </c>
      <c r="Y226" s="2">
        <v>11400</v>
      </c>
      <c r="Z226" s="2">
        <v>1800</v>
      </c>
      <c r="AA226" s="18">
        <v>0.44</v>
      </c>
    </row>
    <row r="227" spans="1:36" x14ac:dyDescent="0.25">
      <c r="A227" s="2" t="s">
        <v>28</v>
      </c>
      <c r="B227" s="16">
        <v>12</v>
      </c>
      <c r="C227" s="2" t="s">
        <v>147</v>
      </c>
      <c r="D227" s="30">
        <v>44719</v>
      </c>
      <c r="E227" s="2">
        <v>481000</v>
      </c>
      <c r="F227" s="2">
        <v>53000</v>
      </c>
      <c r="G227" s="2">
        <v>1030</v>
      </c>
      <c r="H227" s="2">
        <v>910</v>
      </c>
      <c r="I227" s="2">
        <v>-80000</v>
      </c>
      <c r="J227" s="2">
        <v>12000</v>
      </c>
      <c r="K227" s="2">
        <v>80</v>
      </c>
      <c r="L227" s="2">
        <v>140</v>
      </c>
      <c r="M227" s="2">
        <v>179</v>
      </c>
      <c r="N227" s="2">
        <v>18</v>
      </c>
      <c r="O227" s="18">
        <v>3.5</v>
      </c>
      <c r="P227" s="2">
        <v>123</v>
      </c>
      <c r="Q227" s="2">
        <v>20</v>
      </c>
      <c r="R227" s="2">
        <v>16</v>
      </c>
      <c r="S227" s="31">
        <v>730000</v>
      </c>
      <c r="T227" s="2">
        <v>100000</v>
      </c>
      <c r="U227" s="18">
        <v>0.52</v>
      </c>
      <c r="V227" s="2">
        <v>1720</v>
      </c>
      <c r="W227" s="2">
        <v>260</v>
      </c>
      <c r="X227" s="48">
        <v>0.11</v>
      </c>
      <c r="Y227" s="2">
        <v>12500</v>
      </c>
      <c r="Z227" s="2">
        <v>1600</v>
      </c>
      <c r="AA227" s="18">
        <v>0.39</v>
      </c>
    </row>
    <row r="228" spans="1:36" x14ac:dyDescent="0.25">
      <c r="A228" s="2" t="s">
        <v>28</v>
      </c>
      <c r="B228" s="16">
        <v>13</v>
      </c>
      <c r="C228" s="2" t="s">
        <v>148</v>
      </c>
      <c r="D228" s="30">
        <v>44719</v>
      </c>
      <c r="E228" s="2">
        <v>493000</v>
      </c>
      <c r="F228" s="2">
        <v>55000</v>
      </c>
      <c r="G228" s="2">
        <v>-800</v>
      </c>
      <c r="H228" s="2">
        <v>1100</v>
      </c>
      <c r="I228" s="2">
        <v>20000</v>
      </c>
      <c r="J228" s="2">
        <v>13000</v>
      </c>
      <c r="K228" s="2">
        <v>60</v>
      </c>
      <c r="L228" s="2">
        <v>160</v>
      </c>
      <c r="M228" s="2">
        <v>166</v>
      </c>
      <c r="N228" s="2">
        <v>21</v>
      </c>
      <c r="O228" s="18">
        <v>3.8</v>
      </c>
      <c r="P228" s="2">
        <v>108</v>
      </c>
      <c r="Q228" s="2">
        <v>21</v>
      </c>
      <c r="R228" s="2">
        <v>19</v>
      </c>
      <c r="S228" s="31">
        <v>700000</v>
      </c>
      <c r="T228" s="2">
        <v>100000</v>
      </c>
      <c r="U228" s="18">
        <v>0.81</v>
      </c>
      <c r="V228" s="2">
        <v>2340</v>
      </c>
      <c r="W228" s="2">
        <v>340</v>
      </c>
      <c r="X228" s="48">
        <v>0.11</v>
      </c>
      <c r="Y228" s="2">
        <v>11500</v>
      </c>
      <c r="Z228" s="2">
        <v>1400</v>
      </c>
      <c r="AA228" s="18">
        <v>0.42</v>
      </c>
    </row>
    <row r="229" spans="1:36" s="19" customFormat="1" x14ac:dyDescent="0.25">
      <c r="A229" s="12" t="s">
        <v>29</v>
      </c>
      <c r="B229" s="13">
        <v>1</v>
      </c>
      <c r="C229" s="12" t="s">
        <v>76</v>
      </c>
      <c r="D229" s="29">
        <v>44777</v>
      </c>
      <c r="E229" s="12">
        <v>450000</v>
      </c>
      <c r="F229" s="12">
        <v>27000</v>
      </c>
      <c r="G229" s="12">
        <v>-40</v>
      </c>
      <c r="H229" s="12">
        <v>840</v>
      </c>
      <c r="I229" s="12">
        <v>-90000</v>
      </c>
      <c r="J229" s="12">
        <v>10000</v>
      </c>
      <c r="K229" s="12">
        <v>10</v>
      </c>
      <c r="L229" s="12">
        <v>110</v>
      </c>
      <c r="M229" s="12">
        <v>169</v>
      </c>
      <c r="N229" s="12">
        <v>15</v>
      </c>
      <c r="O229" s="15">
        <v>2.4</v>
      </c>
      <c r="P229" s="12">
        <v>83</v>
      </c>
      <c r="Q229" s="12">
        <v>13</v>
      </c>
      <c r="R229" s="12">
        <v>20</v>
      </c>
      <c r="S229" s="27">
        <v>532000</v>
      </c>
      <c r="T229" s="12">
        <v>39000</v>
      </c>
      <c r="U229" s="15">
        <v>0.42</v>
      </c>
      <c r="V229" s="12">
        <v>548</v>
      </c>
      <c r="W229" s="12">
        <v>47</v>
      </c>
      <c r="X229" s="49">
        <v>0.24</v>
      </c>
      <c r="Y229" s="12">
        <v>10140</v>
      </c>
      <c r="Z229" s="12">
        <v>670</v>
      </c>
      <c r="AA229" s="15">
        <v>0.46</v>
      </c>
      <c r="AH229" s="41"/>
      <c r="AI229" s="41"/>
      <c r="AJ229" s="41"/>
    </row>
    <row r="230" spans="1:36" s="19" customFormat="1" x14ac:dyDescent="0.25">
      <c r="A230" s="12" t="s">
        <v>29</v>
      </c>
      <c r="B230" s="13">
        <v>2</v>
      </c>
      <c r="C230" s="12" t="s">
        <v>77</v>
      </c>
      <c r="D230" s="29">
        <v>44777</v>
      </c>
      <c r="E230" s="12">
        <v>391000</v>
      </c>
      <c r="F230" s="12">
        <v>24000</v>
      </c>
      <c r="G230" s="12">
        <v>1230</v>
      </c>
      <c r="H230" s="12">
        <v>930</v>
      </c>
      <c r="I230" s="12">
        <v>-1400</v>
      </c>
      <c r="J230" s="12">
        <v>8400</v>
      </c>
      <c r="K230" s="12">
        <v>40</v>
      </c>
      <c r="L230" s="12">
        <v>100</v>
      </c>
      <c r="M230" s="12">
        <v>137</v>
      </c>
      <c r="N230" s="12">
        <v>10</v>
      </c>
      <c r="O230" s="15">
        <v>2.2000000000000002</v>
      </c>
      <c r="P230" s="12">
        <v>96</v>
      </c>
      <c r="Q230" s="12">
        <v>13</v>
      </c>
      <c r="R230" s="12">
        <v>24</v>
      </c>
      <c r="S230" s="27">
        <v>514000</v>
      </c>
      <c r="T230" s="12">
        <v>42000</v>
      </c>
      <c r="U230" s="15">
        <v>0.45</v>
      </c>
      <c r="V230" s="12">
        <v>409</v>
      </c>
      <c r="W230" s="12">
        <v>26</v>
      </c>
      <c r="X230" s="49">
        <v>0.28999999999999998</v>
      </c>
      <c r="Y230" s="12">
        <v>9160</v>
      </c>
      <c r="Z230" s="12">
        <v>640</v>
      </c>
      <c r="AA230" s="15">
        <v>0.54</v>
      </c>
      <c r="AH230" s="41"/>
      <c r="AI230" s="41"/>
      <c r="AJ230" s="41"/>
    </row>
    <row r="231" spans="1:36" s="19" customFormat="1" x14ac:dyDescent="0.25">
      <c r="A231" s="12" t="s">
        <v>29</v>
      </c>
      <c r="B231" s="13">
        <v>3</v>
      </c>
      <c r="C231" s="12" t="s">
        <v>78</v>
      </c>
      <c r="D231" s="29">
        <v>44777</v>
      </c>
      <c r="E231" s="12">
        <v>395000</v>
      </c>
      <c r="F231" s="12">
        <v>27000</v>
      </c>
      <c r="G231" s="12">
        <v>-600</v>
      </c>
      <c r="H231" s="12">
        <v>850</v>
      </c>
      <c r="I231" s="12">
        <v>-6100</v>
      </c>
      <c r="J231" s="12">
        <v>9800</v>
      </c>
      <c r="K231" s="12">
        <v>40</v>
      </c>
      <c r="L231" s="12">
        <v>100</v>
      </c>
      <c r="M231" s="12">
        <v>138</v>
      </c>
      <c r="N231" s="12">
        <v>11</v>
      </c>
      <c r="O231" s="15">
        <v>2.4</v>
      </c>
      <c r="P231" s="12">
        <v>84</v>
      </c>
      <c r="Q231" s="12">
        <v>12</v>
      </c>
      <c r="R231" s="12">
        <v>27</v>
      </c>
      <c r="S231" s="27">
        <v>447000</v>
      </c>
      <c r="T231" s="12">
        <v>29000</v>
      </c>
      <c r="U231" s="15">
        <v>0.28999999999999998</v>
      </c>
      <c r="V231" s="12">
        <v>574</v>
      </c>
      <c r="W231" s="12">
        <v>31</v>
      </c>
      <c r="X231" s="49">
        <v>0.52</v>
      </c>
      <c r="Y231" s="12">
        <v>8320</v>
      </c>
      <c r="Z231" s="12">
        <v>490</v>
      </c>
      <c r="AA231" s="15">
        <v>0.55000000000000004</v>
      </c>
      <c r="AH231" s="41"/>
      <c r="AI231" s="41"/>
      <c r="AJ231" s="41"/>
    </row>
    <row r="232" spans="1:36" s="19" customFormat="1" x14ac:dyDescent="0.25">
      <c r="A232" s="12" t="s">
        <v>29</v>
      </c>
      <c r="B232" s="13">
        <v>4</v>
      </c>
      <c r="C232" s="12" t="s">
        <v>79</v>
      </c>
      <c r="D232" s="29">
        <v>44777</v>
      </c>
      <c r="E232" s="12">
        <v>486000</v>
      </c>
      <c r="F232" s="12">
        <v>31000</v>
      </c>
      <c r="G232" s="12">
        <v>-1300</v>
      </c>
      <c r="H232" s="12">
        <v>1100</v>
      </c>
      <c r="I232" s="12">
        <v>30000</v>
      </c>
      <c r="J232" s="12">
        <v>10000</v>
      </c>
      <c r="K232" s="12">
        <v>-180</v>
      </c>
      <c r="L232" s="12">
        <v>150</v>
      </c>
      <c r="M232" s="12">
        <v>167</v>
      </c>
      <c r="N232" s="12">
        <v>17</v>
      </c>
      <c r="O232" s="15">
        <v>2.2999999999999998</v>
      </c>
      <c r="P232" s="12">
        <v>105</v>
      </c>
      <c r="Q232" s="12">
        <v>13</v>
      </c>
      <c r="R232" s="12">
        <v>31</v>
      </c>
      <c r="S232" s="27">
        <v>558000</v>
      </c>
      <c r="T232" s="12">
        <v>43000</v>
      </c>
      <c r="U232" s="15"/>
      <c r="V232" s="12">
        <v>766</v>
      </c>
      <c r="W232" s="12">
        <v>75</v>
      </c>
      <c r="X232" s="49">
        <v>0.74</v>
      </c>
      <c r="Y232" s="12">
        <v>10660</v>
      </c>
      <c r="Z232" s="12">
        <v>820</v>
      </c>
      <c r="AA232" s="15">
        <v>0.53</v>
      </c>
      <c r="AH232" s="41"/>
      <c r="AI232" s="41"/>
      <c r="AJ232" s="41"/>
    </row>
    <row r="233" spans="1:36" s="19" customFormat="1" x14ac:dyDescent="0.25">
      <c r="A233" s="12" t="s">
        <v>29</v>
      </c>
      <c r="B233" s="13">
        <v>5</v>
      </c>
      <c r="C233" s="12" t="s">
        <v>124</v>
      </c>
      <c r="D233" s="29">
        <v>44777</v>
      </c>
      <c r="E233" s="12">
        <v>494000</v>
      </c>
      <c r="F233" s="12">
        <v>36000</v>
      </c>
      <c r="G233" s="12">
        <v>-400</v>
      </c>
      <c r="H233" s="12">
        <v>1200</v>
      </c>
      <c r="I233" s="12">
        <v>5900</v>
      </c>
      <c r="J233" s="12">
        <v>9000</v>
      </c>
      <c r="K233" s="12">
        <v>60</v>
      </c>
      <c r="L233" s="12">
        <v>140</v>
      </c>
      <c r="M233" s="12">
        <v>186</v>
      </c>
      <c r="N233" s="12">
        <v>14</v>
      </c>
      <c r="O233" s="15">
        <v>2.1</v>
      </c>
      <c r="P233" s="12">
        <v>68</v>
      </c>
      <c r="Q233" s="12">
        <v>12</v>
      </c>
      <c r="R233" s="12">
        <v>32</v>
      </c>
      <c r="S233" s="27">
        <v>578000</v>
      </c>
      <c r="T233" s="12">
        <v>39000</v>
      </c>
      <c r="U233" s="15">
        <v>0.59</v>
      </c>
      <c r="V233" s="12">
        <v>1174</v>
      </c>
      <c r="W233" s="12">
        <v>74</v>
      </c>
      <c r="X233" s="49">
        <v>1.2</v>
      </c>
      <c r="Y233" s="12">
        <v>10720</v>
      </c>
      <c r="Z233" s="12">
        <v>680</v>
      </c>
      <c r="AA233" s="15">
        <v>0.61</v>
      </c>
      <c r="AH233" s="41"/>
      <c r="AI233" s="41"/>
      <c r="AJ233" s="41"/>
    </row>
    <row r="234" spans="1:36" s="19" customFormat="1" x14ac:dyDescent="0.25">
      <c r="A234" s="12" t="s">
        <v>29</v>
      </c>
      <c r="B234" s="13">
        <v>6</v>
      </c>
      <c r="C234" s="12" t="s">
        <v>101</v>
      </c>
      <c r="D234" s="29">
        <v>44777</v>
      </c>
      <c r="E234" s="12">
        <v>390000</v>
      </c>
      <c r="F234" s="12">
        <v>25000</v>
      </c>
      <c r="G234" s="12">
        <v>310</v>
      </c>
      <c r="H234" s="12">
        <v>740</v>
      </c>
      <c r="I234" s="12">
        <v>-5400</v>
      </c>
      <c r="J234" s="12">
        <v>8400</v>
      </c>
      <c r="K234" s="12">
        <v>50</v>
      </c>
      <c r="L234" s="12">
        <v>110</v>
      </c>
      <c r="M234" s="12">
        <v>158</v>
      </c>
      <c r="N234" s="12">
        <v>11</v>
      </c>
      <c r="O234" s="15">
        <v>2</v>
      </c>
      <c r="P234" s="12">
        <v>106</v>
      </c>
      <c r="Q234" s="12">
        <v>15</v>
      </c>
      <c r="R234" s="12">
        <v>34</v>
      </c>
      <c r="S234" s="27">
        <v>472000</v>
      </c>
      <c r="T234" s="12">
        <v>34000</v>
      </c>
      <c r="U234" s="15">
        <v>0.59</v>
      </c>
      <c r="V234" s="12">
        <v>1693</v>
      </c>
      <c r="W234" s="12">
        <v>98</v>
      </c>
      <c r="X234" s="49">
        <v>2</v>
      </c>
      <c r="Y234" s="12">
        <v>7920</v>
      </c>
      <c r="Z234" s="12">
        <v>500</v>
      </c>
      <c r="AA234" s="15">
        <v>0.46</v>
      </c>
      <c r="AH234" s="41"/>
      <c r="AI234" s="41"/>
      <c r="AJ234" s="41"/>
    </row>
    <row r="235" spans="1:36" s="19" customFormat="1" x14ac:dyDescent="0.25">
      <c r="A235" s="12" t="s">
        <v>29</v>
      </c>
      <c r="B235" s="13">
        <v>7</v>
      </c>
      <c r="C235" s="12" t="s">
        <v>102</v>
      </c>
      <c r="D235" s="29">
        <v>44777</v>
      </c>
      <c r="E235" s="12">
        <v>376000</v>
      </c>
      <c r="F235" s="12">
        <v>24000</v>
      </c>
      <c r="G235" s="12">
        <v>850</v>
      </c>
      <c r="H235" s="12">
        <v>780</v>
      </c>
      <c r="I235" s="12">
        <v>5400</v>
      </c>
      <c r="J235" s="12">
        <v>9200</v>
      </c>
      <c r="K235" s="12">
        <v>-70</v>
      </c>
      <c r="L235" s="12">
        <v>100</v>
      </c>
      <c r="M235" s="12">
        <v>153</v>
      </c>
      <c r="N235" s="12">
        <v>11</v>
      </c>
      <c r="O235" s="15">
        <v>2.2999999999999998</v>
      </c>
      <c r="P235" s="12">
        <v>116</v>
      </c>
      <c r="Q235" s="12">
        <v>14</v>
      </c>
      <c r="R235" s="12">
        <v>39</v>
      </c>
      <c r="S235" s="27">
        <v>469000</v>
      </c>
      <c r="T235" s="12">
        <v>30000</v>
      </c>
      <c r="U235" s="15">
        <v>0.51</v>
      </c>
      <c r="V235" s="12">
        <v>2270</v>
      </c>
      <c r="W235" s="12">
        <v>150</v>
      </c>
      <c r="X235" s="49">
        <v>1.9</v>
      </c>
      <c r="Y235" s="12">
        <v>8400</v>
      </c>
      <c r="Z235" s="12">
        <v>520</v>
      </c>
      <c r="AA235" s="15">
        <v>0.56000000000000005</v>
      </c>
      <c r="AH235" s="41"/>
      <c r="AI235" s="41"/>
      <c r="AJ235" s="41"/>
    </row>
    <row r="236" spans="1:36" s="19" customFormat="1" x14ac:dyDescent="0.25">
      <c r="A236" s="12" t="s">
        <v>29</v>
      </c>
      <c r="B236" s="13">
        <v>8</v>
      </c>
      <c r="C236" s="12" t="s">
        <v>103</v>
      </c>
      <c r="D236" s="29">
        <v>44777</v>
      </c>
      <c r="E236" s="12">
        <v>376000</v>
      </c>
      <c r="F236" s="12">
        <v>26000</v>
      </c>
      <c r="G236" s="12">
        <v>90</v>
      </c>
      <c r="H236" s="12">
        <v>660</v>
      </c>
      <c r="I236" s="12">
        <v>-3600</v>
      </c>
      <c r="J236" s="12">
        <v>8500</v>
      </c>
      <c r="K236" s="12">
        <v>-30</v>
      </c>
      <c r="L236" s="12">
        <v>110</v>
      </c>
      <c r="M236" s="12">
        <v>147.1</v>
      </c>
      <c r="N236" s="12">
        <v>9.1999999999999993</v>
      </c>
      <c r="O236" s="15">
        <v>2.2999999999999998</v>
      </c>
      <c r="P236" s="12">
        <v>123</v>
      </c>
      <c r="Q236" s="12">
        <v>13</v>
      </c>
      <c r="R236" s="12">
        <v>37</v>
      </c>
      <c r="S236" s="27">
        <v>468000</v>
      </c>
      <c r="T236" s="12">
        <v>31000</v>
      </c>
      <c r="U236" s="15">
        <v>0.59</v>
      </c>
      <c r="V236" s="12">
        <v>1494</v>
      </c>
      <c r="W236" s="12">
        <v>95</v>
      </c>
      <c r="X236" s="49">
        <v>0.98</v>
      </c>
      <c r="Y236" s="12">
        <v>8420</v>
      </c>
      <c r="Z236" s="12">
        <v>520</v>
      </c>
      <c r="AA236" s="15">
        <v>0.57999999999999996</v>
      </c>
      <c r="AH236" s="41"/>
      <c r="AI236" s="41"/>
      <c r="AJ236" s="41"/>
    </row>
    <row r="237" spans="1:36" s="19" customFormat="1" x14ac:dyDescent="0.25">
      <c r="A237" s="12" t="s">
        <v>29</v>
      </c>
      <c r="B237" s="13">
        <v>9</v>
      </c>
      <c r="C237" s="12" t="s">
        <v>125</v>
      </c>
      <c r="D237" s="29">
        <v>44777</v>
      </c>
      <c r="E237" s="12">
        <v>435000</v>
      </c>
      <c r="F237" s="12">
        <v>34000</v>
      </c>
      <c r="G237" s="12">
        <v>800</v>
      </c>
      <c r="H237" s="12">
        <v>740</v>
      </c>
      <c r="I237" s="12">
        <v>15000</v>
      </c>
      <c r="J237" s="12">
        <v>9400</v>
      </c>
      <c r="K237" s="12">
        <v>10</v>
      </c>
      <c r="L237" s="12">
        <v>150</v>
      </c>
      <c r="M237" s="12">
        <v>174</v>
      </c>
      <c r="N237" s="12">
        <v>13</v>
      </c>
      <c r="O237" s="15">
        <v>2.5</v>
      </c>
      <c r="P237" s="12">
        <v>90</v>
      </c>
      <c r="Q237" s="12">
        <v>15</v>
      </c>
      <c r="R237" s="12">
        <v>33</v>
      </c>
      <c r="S237" s="27">
        <v>506000</v>
      </c>
      <c r="T237" s="12">
        <v>31000</v>
      </c>
      <c r="U237" s="15">
        <v>0.68</v>
      </c>
      <c r="V237" s="12">
        <v>2160</v>
      </c>
      <c r="W237" s="12">
        <v>160</v>
      </c>
      <c r="X237" s="49">
        <v>0.5</v>
      </c>
      <c r="Y237" s="12">
        <v>9210</v>
      </c>
      <c r="Z237" s="12">
        <v>600</v>
      </c>
      <c r="AA237" s="15">
        <v>0.47</v>
      </c>
      <c r="AH237" s="41"/>
      <c r="AI237" s="41"/>
      <c r="AJ237" s="41"/>
    </row>
    <row r="238" spans="1:36" x14ac:dyDescent="0.25">
      <c r="A238" s="2" t="s">
        <v>30</v>
      </c>
      <c r="B238" s="16">
        <v>1</v>
      </c>
      <c r="C238" s="2" t="s">
        <v>106</v>
      </c>
      <c r="D238" s="30">
        <v>44777</v>
      </c>
      <c r="E238" s="2">
        <v>555000</v>
      </c>
      <c r="F238" s="2">
        <v>52000</v>
      </c>
      <c r="G238" s="2">
        <v>300</v>
      </c>
      <c r="H238" s="2">
        <v>1100</v>
      </c>
      <c r="I238" s="2">
        <v>-90000</v>
      </c>
      <c r="J238" s="2">
        <v>15000</v>
      </c>
      <c r="K238" s="2">
        <v>-70</v>
      </c>
      <c r="L238" s="2">
        <v>170</v>
      </c>
      <c r="M238" s="2">
        <v>60.9</v>
      </c>
      <c r="N238" s="2">
        <v>6.9</v>
      </c>
      <c r="O238" s="18">
        <v>2.5</v>
      </c>
      <c r="P238" s="2"/>
      <c r="Q238" s="2"/>
      <c r="R238" s="2">
        <v>32</v>
      </c>
      <c r="S238" s="31">
        <v>694000</v>
      </c>
      <c r="T238" s="2">
        <v>76000</v>
      </c>
      <c r="U238" s="18">
        <v>0.83</v>
      </c>
      <c r="V238" s="2">
        <v>5950</v>
      </c>
      <c r="W238" s="2">
        <v>640</v>
      </c>
      <c r="X238" s="48">
        <v>0.19</v>
      </c>
      <c r="Y238" s="2">
        <v>11900</v>
      </c>
      <c r="Z238" s="2">
        <v>1400</v>
      </c>
      <c r="AA238" s="18">
        <v>0.55000000000000004</v>
      </c>
    </row>
    <row r="239" spans="1:36" x14ac:dyDescent="0.25">
      <c r="A239" s="2" t="s">
        <v>30</v>
      </c>
      <c r="B239" s="16">
        <v>2</v>
      </c>
      <c r="C239" s="2" t="s">
        <v>131</v>
      </c>
      <c r="D239" s="30">
        <v>44777</v>
      </c>
      <c r="E239" s="2">
        <v>576000</v>
      </c>
      <c r="F239" s="2">
        <v>73000</v>
      </c>
      <c r="G239" s="2">
        <v>-1000</v>
      </c>
      <c r="H239" s="2">
        <v>1700</v>
      </c>
      <c r="I239" s="2">
        <v>16000</v>
      </c>
      <c r="J239" s="2">
        <v>26000</v>
      </c>
      <c r="K239" s="2">
        <v>110</v>
      </c>
      <c r="L239" s="2">
        <v>320</v>
      </c>
      <c r="M239" s="2">
        <v>85</v>
      </c>
      <c r="N239" s="2">
        <v>17</v>
      </c>
      <c r="O239" s="18">
        <v>3.8</v>
      </c>
      <c r="P239" s="2"/>
      <c r="Q239" s="2"/>
      <c r="R239" s="2">
        <v>41</v>
      </c>
      <c r="S239" s="31">
        <v>694000</v>
      </c>
      <c r="T239" s="2">
        <v>86000</v>
      </c>
      <c r="U239" s="18">
        <v>0.62</v>
      </c>
      <c r="V239" s="2">
        <v>4900</v>
      </c>
      <c r="W239" s="2">
        <v>1000</v>
      </c>
      <c r="X239" s="48">
        <v>0.18</v>
      </c>
      <c r="Y239" s="2">
        <v>13400</v>
      </c>
      <c r="Z239" s="2">
        <v>2500</v>
      </c>
      <c r="AA239" s="18">
        <v>0.8</v>
      </c>
    </row>
    <row r="240" spans="1:36" x14ac:dyDescent="0.25">
      <c r="A240" s="2" t="s">
        <v>30</v>
      </c>
      <c r="B240" s="16">
        <v>3</v>
      </c>
      <c r="C240" s="2" t="s">
        <v>132</v>
      </c>
      <c r="D240" s="30">
        <v>44777</v>
      </c>
      <c r="E240" s="2">
        <v>562000</v>
      </c>
      <c r="F240" s="2">
        <v>44000</v>
      </c>
      <c r="G240" s="2">
        <v>-500</v>
      </c>
      <c r="H240" s="2">
        <v>1500</v>
      </c>
      <c r="I240" s="2">
        <v>-20000</v>
      </c>
      <c r="J240" s="2">
        <v>12000</v>
      </c>
      <c r="K240" s="2">
        <v>90</v>
      </c>
      <c r="L240" s="2">
        <v>230</v>
      </c>
      <c r="M240" s="2">
        <v>89.4</v>
      </c>
      <c r="N240" s="2">
        <v>7.1</v>
      </c>
      <c r="O240" s="18">
        <v>2.7</v>
      </c>
      <c r="P240" s="2"/>
      <c r="Q240" s="2"/>
      <c r="R240" s="2">
        <v>25</v>
      </c>
      <c r="S240" s="31">
        <v>641000</v>
      </c>
      <c r="T240" s="2">
        <v>50000</v>
      </c>
      <c r="U240" s="18">
        <v>0.23</v>
      </c>
      <c r="V240" s="2">
        <v>2460</v>
      </c>
      <c r="W240" s="2">
        <v>350</v>
      </c>
      <c r="X240" s="48">
        <v>0.16</v>
      </c>
      <c r="Y240" s="2">
        <v>11600</v>
      </c>
      <c r="Z240" s="2">
        <v>1000</v>
      </c>
      <c r="AA240" s="18">
        <v>0.5</v>
      </c>
    </row>
    <row r="241" spans="1:36" x14ac:dyDescent="0.25">
      <c r="A241" s="2" t="s">
        <v>30</v>
      </c>
      <c r="B241" s="16">
        <v>4</v>
      </c>
      <c r="C241" s="2" t="s">
        <v>133</v>
      </c>
      <c r="D241" s="30">
        <v>44777</v>
      </c>
      <c r="E241" s="2">
        <v>455000</v>
      </c>
      <c r="F241" s="2">
        <v>28000</v>
      </c>
      <c r="G241" s="2">
        <v>-100</v>
      </c>
      <c r="H241" s="2">
        <v>1200</v>
      </c>
      <c r="I241" s="2">
        <v>18000</v>
      </c>
      <c r="J241" s="2">
        <v>11000</v>
      </c>
      <c r="K241" s="2">
        <v>160</v>
      </c>
      <c r="L241" s="2">
        <v>140</v>
      </c>
      <c r="M241" s="2">
        <v>47.5</v>
      </c>
      <c r="N241" s="2">
        <v>6.4</v>
      </c>
      <c r="O241" s="18">
        <v>2.7</v>
      </c>
      <c r="P241" s="2"/>
      <c r="Q241" s="2"/>
      <c r="R241" s="2">
        <v>25</v>
      </c>
      <c r="S241" s="31">
        <v>584000</v>
      </c>
      <c r="T241" s="2">
        <v>40000</v>
      </c>
      <c r="U241" s="18">
        <v>0.72</v>
      </c>
      <c r="V241" s="2">
        <v>3760</v>
      </c>
      <c r="W241" s="2">
        <v>610</v>
      </c>
      <c r="X241" s="48">
        <v>0.12</v>
      </c>
      <c r="Y241" s="2">
        <v>10740</v>
      </c>
      <c r="Z241" s="2">
        <v>660</v>
      </c>
      <c r="AA241" s="18">
        <v>0.47</v>
      </c>
    </row>
    <row r="242" spans="1:36" x14ac:dyDescent="0.25">
      <c r="A242" s="2" t="s">
        <v>30</v>
      </c>
      <c r="B242" s="16">
        <v>5</v>
      </c>
      <c r="C242" s="2" t="s">
        <v>134</v>
      </c>
      <c r="D242" s="30">
        <v>44777</v>
      </c>
      <c r="E242" s="2">
        <v>566000</v>
      </c>
      <c r="F242" s="2">
        <v>55000</v>
      </c>
      <c r="G242" s="2">
        <v>-700</v>
      </c>
      <c r="H242" s="2">
        <v>2800</v>
      </c>
      <c r="I242" s="2">
        <v>-12000</v>
      </c>
      <c r="J242" s="2">
        <v>32000</v>
      </c>
      <c r="K242" s="2">
        <v>-10</v>
      </c>
      <c r="L242" s="2">
        <v>440</v>
      </c>
      <c r="M242" s="2">
        <v>101</v>
      </c>
      <c r="N242" s="2">
        <v>17</v>
      </c>
      <c r="O242" s="18">
        <v>3.8</v>
      </c>
      <c r="P242" s="2"/>
      <c r="Q242" s="2"/>
      <c r="R242" s="2">
        <v>31</v>
      </c>
      <c r="S242" s="31">
        <v>780000</v>
      </c>
      <c r="T242" s="2">
        <v>120000</v>
      </c>
      <c r="U242" s="18">
        <v>0.86</v>
      </c>
      <c r="V242" s="2">
        <v>1030</v>
      </c>
      <c r="W242" s="2">
        <v>170</v>
      </c>
      <c r="X242" s="48">
        <v>0.15</v>
      </c>
      <c r="Y242" s="2">
        <v>13800</v>
      </c>
      <c r="Z242" s="2">
        <v>1900</v>
      </c>
      <c r="AA242" s="18">
        <v>0.76</v>
      </c>
    </row>
    <row r="243" spans="1:36" x14ac:dyDescent="0.25">
      <c r="A243" s="2" t="s">
        <v>30</v>
      </c>
      <c r="B243" s="16">
        <v>6</v>
      </c>
      <c r="C243" s="2" t="s">
        <v>136</v>
      </c>
      <c r="D243" s="30">
        <v>44777</v>
      </c>
      <c r="E243" s="2">
        <v>515000</v>
      </c>
      <c r="F243" s="2">
        <v>40000</v>
      </c>
      <c r="G243" s="2">
        <v>-500</v>
      </c>
      <c r="H243" s="2">
        <v>1300</v>
      </c>
      <c r="I243" s="2">
        <v>15000</v>
      </c>
      <c r="J243" s="2">
        <v>16000</v>
      </c>
      <c r="K243" s="2">
        <v>0</v>
      </c>
      <c r="L243" s="2">
        <v>300</v>
      </c>
      <c r="M243" s="2">
        <v>82.4</v>
      </c>
      <c r="N243" s="2">
        <v>6.9</v>
      </c>
      <c r="O243" s="18">
        <v>3</v>
      </c>
      <c r="P243" s="2"/>
      <c r="Q243" s="2"/>
      <c r="R243" s="2">
        <v>23</v>
      </c>
      <c r="S243" s="31">
        <v>713000</v>
      </c>
      <c r="T243" s="2">
        <v>54000</v>
      </c>
      <c r="U243" s="18">
        <v>0.63</v>
      </c>
      <c r="V243" s="2">
        <v>1910</v>
      </c>
      <c r="W243" s="2">
        <v>360</v>
      </c>
      <c r="X243" s="48">
        <v>0.14000000000000001</v>
      </c>
      <c r="Y243" s="2">
        <v>12700</v>
      </c>
      <c r="Z243" s="2">
        <v>1000</v>
      </c>
      <c r="AA243" s="18">
        <v>0.66</v>
      </c>
    </row>
    <row r="244" spans="1:36" x14ac:dyDescent="0.25">
      <c r="A244" s="2" t="s">
        <v>30</v>
      </c>
      <c r="B244" s="16">
        <v>7</v>
      </c>
      <c r="C244" s="2" t="s">
        <v>107</v>
      </c>
      <c r="D244" s="30">
        <v>44777</v>
      </c>
      <c r="E244" s="2">
        <v>550000</v>
      </c>
      <c r="F244" s="2">
        <v>35000</v>
      </c>
      <c r="G244" s="2">
        <v>-1300</v>
      </c>
      <c r="H244" s="2">
        <v>2100</v>
      </c>
      <c r="I244" s="2">
        <v>0</v>
      </c>
      <c r="J244" s="2">
        <v>21000</v>
      </c>
      <c r="K244" s="2">
        <v>80</v>
      </c>
      <c r="L244" s="2">
        <v>240</v>
      </c>
      <c r="M244" s="2">
        <v>97</v>
      </c>
      <c r="N244" s="2">
        <v>12</v>
      </c>
      <c r="O244" s="18">
        <v>3.2</v>
      </c>
      <c r="P244" s="2"/>
      <c r="Q244" s="2"/>
      <c r="R244" s="2">
        <v>18</v>
      </c>
      <c r="S244" s="31">
        <v>685000</v>
      </c>
      <c r="T244" s="2">
        <v>64000</v>
      </c>
      <c r="U244" s="18">
        <v>0.56999999999999995</v>
      </c>
      <c r="V244" s="2">
        <v>539</v>
      </c>
      <c r="W244" s="2">
        <v>79</v>
      </c>
      <c r="X244" s="48">
        <v>0.14000000000000001</v>
      </c>
      <c r="Y244" s="2">
        <v>12600</v>
      </c>
      <c r="Z244" s="2">
        <v>1100</v>
      </c>
      <c r="AA244" s="18">
        <v>0.53</v>
      </c>
    </row>
    <row r="245" spans="1:36" x14ac:dyDescent="0.25">
      <c r="A245" s="2" t="s">
        <v>30</v>
      </c>
      <c r="B245" s="16">
        <v>8</v>
      </c>
      <c r="C245" s="2" t="s">
        <v>108</v>
      </c>
      <c r="D245" s="30">
        <v>44777</v>
      </c>
      <c r="E245" s="2">
        <v>523000</v>
      </c>
      <c r="F245" s="2">
        <v>33000</v>
      </c>
      <c r="G245" s="2">
        <v>-300</v>
      </c>
      <c r="H245" s="2">
        <v>1400</v>
      </c>
      <c r="I245" s="2">
        <v>-1000</v>
      </c>
      <c r="J245" s="2">
        <v>19000</v>
      </c>
      <c r="K245" s="2">
        <v>-50</v>
      </c>
      <c r="L245" s="2">
        <v>270</v>
      </c>
      <c r="M245" s="2">
        <v>67.2</v>
      </c>
      <c r="N245" s="2">
        <v>9</v>
      </c>
      <c r="O245" s="18">
        <v>3.5</v>
      </c>
      <c r="P245" s="2">
        <v>33</v>
      </c>
      <c r="Q245" s="2">
        <v>18</v>
      </c>
      <c r="R245" s="2">
        <v>25</v>
      </c>
      <c r="S245" s="31">
        <v>728000</v>
      </c>
      <c r="T245" s="2">
        <v>76000</v>
      </c>
      <c r="U245" s="18">
        <v>0.79</v>
      </c>
      <c r="V245" s="2">
        <v>2900</v>
      </c>
      <c r="W245" s="2">
        <v>500</v>
      </c>
      <c r="X245" s="48">
        <v>0.15</v>
      </c>
      <c r="Y245" s="2">
        <v>14100</v>
      </c>
      <c r="Z245" s="2">
        <v>1900</v>
      </c>
      <c r="AA245" s="18">
        <v>0.55000000000000004</v>
      </c>
    </row>
    <row r="246" spans="1:36" x14ac:dyDescent="0.25">
      <c r="A246" s="2" t="s">
        <v>30</v>
      </c>
      <c r="B246" s="16">
        <v>9</v>
      </c>
      <c r="C246" s="2" t="s">
        <v>109</v>
      </c>
      <c r="D246" s="30">
        <v>44777</v>
      </c>
      <c r="E246" s="2">
        <v>554000</v>
      </c>
      <c r="F246" s="2">
        <v>91000</v>
      </c>
      <c r="G246" s="2">
        <v>100</v>
      </c>
      <c r="H246" s="2">
        <v>3000</v>
      </c>
      <c r="I246" s="2">
        <v>-10000</v>
      </c>
      <c r="J246" s="2">
        <v>12000</v>
      </c>
      <c r="K246" s="2">
        <v>240</v>
      </c>
      <c r="L246" s="2">
        <v>380</v>
      </c>
      <c r="M246" s="2">
        <v>104</v>
      </c>
      <c r="N246" s="2">
        <v>12</v>
      </c>
      <c r="O246" s="18">
        <v>4.0999999999999996</v>
      </c>
      <c r="P246" s="2"/>
      <c r="Q246" s="2"/>
      <c r="R246" s="2">
        <v>25</v>
      </c>
      <c r="S246" s="31">
        <v>708000</v>
      </c>
      <c r="T246" s="2">
        <v>94000</v>
      </c>
      <c r="U246" s="18">
        <v>0.55000000000000004</v>
      </c>
      <c r="V246" s="2">
        <v>583</v>
      </c>
      <c r="W246" s="2">
        <v>76</v>
      </c>
      <c r="X246" s="48">
        <v>0.18</v>
      </c>
      <c r="Y246" s="2">
        <v>13100</v>
      </c>
      <c r="Z246" s="2">
        <v>1800</v>
      </c>
      <c r="AA246" s="18">
        <v>0.88</v>
      </c>
    </row>
    <row r="247" spans="1:36" s="19" customFormat="1" x14ac:dyDescent="0.25">
      <c r="A247" s="12" t="s">
        <v>31</v>
      </c>
      <c r="B247" s="13">
        <v>1</v>
      </c>
      <c r="C247" s="12" t="s">
        <v>112</v>
      </c>
      <c r="D247" s="29">
        <v>44777</v>
      </c>
      <c r="E247" s="12">
        <v>444000</v>
      </c>
      <c r="F247" s="12">
        <v>32000</v>
      </c>
      <c r="G247" s="12">
        <v>-490</v>
      </c>
      <c r="H247" s="12">
        <v>910</v>
      </c>
      <c r="I247" s="12">
        <v>-6600</v>
      </c>
      <c r="J247" s="12">
        <v>9800</v>
      </c>
      <c r="K247" s="12">
        <v>0</v>
      </c>
      <c r="L247" s="12">
        <v>120</v>
      </c>
      <c r="M247" s="12">
        <v>124.6</v>
      </c>
      <c r="N247" s="12">
        <v>9.6999999999999993</v>
      </c>
      <c r="O247" s="15">
        <v>2.2999999999999998</v>
      </c>
      <c r="P247" s="12">
        <v>158</v>
      </c>
      <c r="Q247" s="12">
        <v>18</v>
      </c>
      <c r="R247" s="12">
        <v>16</v>
      </c>
      <c r="S247" s="27">
        <v>560000</v>
      </c>
      <c r="T247" s="12">
        <v>44000</v>
      </c>
      <c r="U247" s="15">
        <v>0.39</v>
      </c>
      <c r="V247" s="12">
        <v>1570</v>
      </c>
      <c r="W247" s="12">
        <v>140</v>
      </c>
      <c r="X247" s="49">
        <v>0.13</v>
      </c>
      <c r="Y247" s="12">
        <v>9850</v>
      </c>
      <c r="Z247" s="12">
        <v>750</v>
      </c>
      <c r="AA247" s="15">
        <v>0.44</v>
      </c>
      <c r="AH247" s="41"/>
      <c r="AI247" s="41"/>
      <c r="AJ247" s="41"/>
    </row>
    <row r="248" spans="1:36" s="19" customFormat="1" x14ac:dyDescent="0.25">
      <c r="A248" s="12" t="s">
        <v>31</v>
      </c>
      <c r="B248" s="13">
        <v>2</v>
      </c>
      <c r="C248" s="12" t="s">
        <v>113</v>
      </c>
      <c r="D248" s="29">
        <v>44777</v>
      </c>
      <c r="E248" s="12">
        <v>575000</v>
      </c>
      <c r="F248" s="12">
        <v>66000</v>
      </c>
      <c r="G248" s="12">
        <v>-1000</v>
      </c>
      <c r="H248" s="12">
        <v>4400</v>
      </c>
      <c r="I248" s="12">
        <v>-50000</v>
      </c>
      <c r="J248" s="12">
        <v>25000</v>
      </c>
      <c r="K248" s="12">
        <v>260</v>
      </c>
      <c r="L248" s="12">
        <v>440</v>
      </c>
      <c r="M248" s="12">
        <v>131</v>
      </c>
      <c r="N248" s="12">
        <v>22</v>
      </c>
      <c r="O248" s="15">
        <v>4.2</v>
      </c>
      <c r="P248" s="12">
        <v>143</v>
      </c>
      <c r="Q248" s="12">
        <v>49</v>
      </c>
      <c r="R248" s="12">
        <v>26</v>
      </c>
      <c r="S248" s="27">
        <v>900000</v>
      </c>
      <c r="T248" s="12">
        <v>210000</v>
      </c>
      <c r="U248" s="15">
        <v>1.1000000000000001</v>
      </c>
      <c r="V248" s="12">
        <v>1720</v>
      </c>
      <c r="W248" s="12">
        <v>470</v>
      </c>
      <c r="X248" s="49">
        <v>0.2</v>
      </c>
      <c r="Y248" s="12">
        <v>12800</v>
      </c>
      <c r="Z248" s="12">
        <v>1700</v>
      </c>
      <c r="AA248" s="15">
        <v>0.9</v>
      </c>
      <c r="AH248" s="41"/>
      <c r="AI248" s="41"/>
      <c r="AJ248" s="41"/>
    </row>
    <row r="249" spans="1:36" s="19" customFormat="1" x14ac:dyDescent="0.25">
      <c r="A249" s="12" t="s">
        <v>31</v>
      </c>
      <c r="B249" s="13">
        <v>3</v>
      </c>
      <c r="C249" s="12" t="s">
        <v>138</v>
      </c>
      <c r="D249" s="29">
        <v>44777</v>
      </c>
      <c r="E249" s="12">
        <v>541000</v>
      </c>
      <c r="F249" s="12">
        <v>41000</v>
      </c>
      <c r="G249" s="12">
        <v>500</v>
      </c>
      <c r="H249" s="12">
        <v>1300</v>
      </c>
      <c r="I249" s="12">
        <v>11000</v>
      </c>
      <c r="J249" s="12">
        <v>13000</v>
      </c>
      <c r="K249" s="12">
        <v>-10</v>
      </c>
      <c r="L249" s="12">
        <v>220</v>
      </c>
      <c r="M249" s="12">
        <v>130</v>
      </c>
      <c r="N249" s="12">
        <v>18</v>
      </c>
      <c r="O249" s="15">
        <v>2.9</v>
      </c>
      <c r="P249" s="12">
        <v>129</v>
      </c>
      <c r="Q249" s="12">
        <v>22</v>
      </c>
      <c r="R249" s="12">
        <v>18</v>
      </c>
      <c r="S249" s="27">
        <v>760000</v>
      </c>
      <c r="T249" s="12">
        <v>110000</v>
      </c>
      <c r="U249" s="15">
        <v>0.24</v>
      </c>
      <c r="V249" s="12">
        <v>2320</v>
      </c>
      <c r="W249" s="12">
        <v>290</v>
      </c>
      <c r="X249" s="49">
        <v>0.17</v>
      </c>
      <c r="Y249" s="12">
        <v>12100</v>
      </c>
      <c r="Z249" s="12">
        <v>1300</v>
      </c>
      <c r="AA249" s="15">
        <v>0.53</v>
      </c>
      <c r="AH249" s="41"/>
      <c r="AI249" s="41"/>
      <c r="AJ249" s="41"/>
    </row>
    <row r="250" spans="1:36" s="19" customFormat="1" x14ac:dyDescent="0.25">
      <c r="A250" s="12" t="s">
        <v>31</v>
      </c>
      <c r="B250" s="13">
        <v>4</v>
      </c>
      <c r="C250" s="12" t="s">
        <v>139</v>
      </c>
      <c r="D250" s="29">
        <v>44777</v>
      </c>
      <c r="E250" s="12">
        <v>488000</v>
      </c>
      <c r="F250" s="12">
        <v>34000</v>
      </c>
      <c r="G250" s="12">
        <v>-300</v>
      </c>
      <c r="H250" s="12">
        <v>1400</v>
      </c>
      <c r="I250" s="12">
        <v>-20000</v>
      </c>
      <c r="J250" s="12">
        <v>11000</v>
      </c>
      <c r="K250" s="12">
        <v>50</v>
      </c>
      <c r="L250" s="12">
        <v>180</v>
      </c>
      <c r="M250" s="12">
        <v>122</v>
      </c>
      <c r="N250" s="12">
        <v>12</v>
      </c>
      <c r="O250" s="15">
        <v>2.8</v>
      </c>
      <c r="P250" s="12">
        <v>139</v>
      </c>
      <c r="Q250" s="12">
        <v>19</v>
      </c>
      <c r="R250" s="12">
        <v>17</v>
      </c>
      <c r="S250" s="27">
        <v>638000</v>
      </c>
      <c r="T250" s="12">
        <v>65000</v>
      </c>
      <c r="U250" s="15">
        <v>0.48</v>
      </c>
      <c r="V250" s="12">
        <v>1820</v>
      </c>
      <c r="W250" s="12">
        <v>210</v>
      </c>
      <c r="X250" s="49">
        <v>0.13</v>
      </c>
      <c r="Y250" s="12">
        <v>10990</v>
      </c>
      <c r="Z250" s="12">
        <v>930</v>
      </c>
      <c r="AA250" s="15">
        <v>0.54</v>
      </c>
      <c r="AH250" s="41"/>
      <c r="AI250" s="41"/>
      <c r="AJ250" s="41"/>
    </row>
    <row r="251" spans="1:36" s="19" customFormat="1" x14ac:dyDescent="0.25">
      <c r="A251" s="12" t="s">
        <v>31</v>
      </c>
      <c r="B251" s="13">
        <v>5</v>
      </c>
      <c r="C251" s="12" t="s">
        <v>114</v>
      </c>
      <c r="D251" s="29">
        <v>44777</v>
      </c>
      <c r="E251" s="12">
        <v>440000</v>
      </c>
      <c r="F251" s="12">
        <v>28000</v>
      </c>
      <c r="G251" s="12">
        <v>-350</v>
      </c>
      <c r="H251" s="12">
        <v>850</v>
      </c>
      <c r="I251" s="12">
        <v>-2200</v>
      </c>
      <c r="J251" s="12">
        <v>9200</v>
      </c>
      <c r="K251" s="12">
        <v>0</v>
      </c>
      <c r="L251" s="12">
        <v>140</v>
      </c>
      <c r="M251" s="12">
        <v>117</v>
      </c>
      <c r="N251" s="12">
        <v>13</v>
      </c>
      <c r="O251" s="15">
        <v>2.9</v>
      </c>
      <c r="P251" s="12">
        <v>150</v>
      </c>
      <c r="Q251" s="12">
        <v>16</v>
      </c>
      <c r="R251" s="12">
        <v>17</v>
      </c>
      <c r="S251" s="27">
        <v>591000</v>
      </c>
      <c r="T251" s="12">
        <v>46000</v>
      </c>
      <c r="U251" s="15">
        <v>0.78</v>
      </c>
      <c r="V251" s="12">
        <v>1560</v>
      </c>
      <c r="W251" s="12">
        <v>140</v>
      </c>
      <c r="X251" s="49">
        <v>0.13</v>
      </c>
      <c r="Y251" s="12">
        <v>10480</v>
      </c>
      <c r="Z251" s="12">
        <v>760</v>
      </c>
      <c r="AA251" s="15">
        <v>0.45</v>
      </c>
      <c r="AH251" s="41"/>
      <c r="AI251" s="41"/>
      <c r="AJ251" s="41"/>
    </row>
    <row r="252" spans="1:36" s="19" customFormat="1" x14ac:dyDescent="0.25">
      <c r="A252" s="12" t="s">
        <v>31</v>
      </c>
      <c r="B252" s="13">
        <v>6</v>
      </c>
      <c r="C252" s="12" t="s">
        <v>115</v>
      </c>
      <c r="D252" s="29">
        <v>44777</v>
      </c>
      <c r="E252" s="12">
        <v>381000</v>
      </c>
      <c r="F252" s="12">
        <v>24000</v>
      </c>
      <c r="G252" s="12">
        <v>-300</v>
      </c>
      <c r="H252" s="12">
        <v>750</v>
      </c>
      <c r="I252" s="12">
        <v>4300</v>
      </c>
      <c r="J252" s="12">
        <v>7700</v>
      </c>
      <c r="K252" s="12">
        <v>-20</v>
      </c>
      <c r="L252" s="12">
        <v>110</v>
      </c>
      <c r="M252" s="12">
        <v>105.1</v>
      </c>
      <c r="N252" s="12">
        <v>9.5</v>
      </c>
      <c r="O252" s="15">
        <v>2.7</v>
      </c>
      <c r="P252" s="12">
        <v>157</v>
      </c>
      <c r="Q252" s="12">
        <v>14</v>
      </c>
      <c r="R252" s="12">
        <v>18</v>
      </c>
      <c r="S252" s="27">
        <v>466000</v>
      </c>
      <c r="T252" s="12">
        <v>33000</v>
      </c>
      <c r="U252" s="15">
        <v>0.36</v>
      </c>
      <c r="V252" s="12">
        <v>1310</v>
      </c>
      <c r="W252" s="12">
        <v>100</v>
      </c>
      <c r="X252" s="49">
        <v>0.13</v>
      </c>
      <c r="Y252" s="12">
        <v>8580</v>
      </c>
      <c r="Z252" s="12">
        <v>600</v>
      </c>
      <c r="AA252" s="15">
        <v>0.43</v>
      </c>
      <c r="AH252" s="41"/>
      <c r="AI252" s="41"/>
      <c r="AJ252" s="41"/>
    </row>
    <row r="253" spans="1:36" s="19" customFormat="1" x14ac:dyDescent="0.25">
      <c r="A253" s="12" t="s">
        <v>31</v>
      </c>
      <c r="B253" s="13">
        <v>7</v>
      </c>
      <c r="C253" s="12" t="s">
        <v>116</v>
      </c>
      <c r="D253" s="29">
        <v>44777</v>
      </c>
      <c r="E253" s="12">
        <v>428000</v>
      </c>
      <c r="F253" s="12">
        <v>28000</v>
      </c>
      <c r="G253" s="12">
        <v>-510</v>
      </c>
      <c r="H253" s="12">
        <v>980</v>
      </c>
      <c r="I253" s="12">
        <v>2500</v>
      </c>
      <c r="J253" s="12">
        <v>8700</v>
      </c>
      <c r="K253" s="12">
        <v>20</v>
      </c>
      <c r="L253" s="12">
        <v>130</v>
      </c>
      <c r="M253" s="12">
        <v>114</v>
      </c>
      <c r="N253" s="12">
        <v>10</v>
      </c>
      <c r="O253" s="15">
        <v>2.4</v>
      </c>
      <c r="P253" s="12">
        <v>202</v>
      </c>
      <c r="Q253" s="12">
        <v>15</v>
      </c>
      <c r="R253" s="12">
        <v>16</v>
      </c>
      <c r="S253" s="27">
        <v>551000</v>
      </c>
      <c r="T253" s="12">
        <v>48000</v>
      </c>
      <c r="U253" s="15">
        <v>0.55000000000000004</v>
      </c>
      <c r="V253" s="12">
        <v>3000</v>
      </c>
      <c r="W253" s="12">
        <v>230</v>
      </c>
      <c r="X253" s="49">
        <v>0.12</v>
      </c>
      <c r="Y253" s="12">
        <v>9720</v>
      </c>
      <c r="Z253" s="12">
        <v>760</v>
      </c>
      <c r="AA253" s="15">
        <v>0.44</v>
      </c>
      <c r="AH253" s="41"/>
      <c r="AI253" s="41"/>
      <c r="AJ253" s="41"/>
    </row>
    <row r="254" spans="1:36" s="19" customFormat="1" x14ac:dyDescent="0.25">
      <c r="A254" s="12" t="s">
        <v>31</v>
      </c>
      <c r="B254" s="13">
        <v>8</v>
      </c>
      <c r="C254" s="12" t="s">
        <v>117</v>
      </c>
      <c r="D254" s="29">
        <v>44777</v>
      </c>
      <c r="E254" s="12">
        <v>372000</v>
      </c>
      <c r="F254" s="12">
        <v>26000</v>
      </c>
      <c r="G254" s="12">
        <v>-560</v>
      </c>
      <c r="H254" s="12">
        <v>640</v>
      </c>
      <c r="I254" s="12">
        <v>6800</v>
      </c>
      <c r="J254" s="12">
        <v>6800</v>
      </c>
      <c r="K254" s="12">
        <v>38</v>
      </c>
      <c r="L254" s="12">
        <v>96</v>
      </c>
      <c r="M254" s="12">
        <v>105.6</v>
      </c>
      <c r="N254" s="12">
        <v>7.6</v>
      </c>
      <c r="O254" s="15">
        <v>2.5</v>
      </c>
      <c r="P254" s="12">
        <v>214</v>
      </c>
      <c r="Q254" s="12">
        <v>17</v>
      </c>
      <c r="R254" s="12">
        <v>14</v>
      </c>
      <c r="S254" s="27">
        <v>490000</v>
      </c>
      <c r="T254" s="12">
        <v>37000</v>
      </c>
      <c r="U254" s="15">
        <v>0.62</v>
      </c>
      <c r="V254" s="12">
        <v>2770</v>
      </c>
      <c r="W254" s="12">
        <v>180</v>
      </c>
      <c r="X254" s="49">
        <v>0.13</v>
      </c>
      <c r="Y254" s="12">
        <v>8130</v>
      </c>
      <c r="Z254" s="12">
        <v>520</v>
      </c>
      <c r="AA254" s="15">
        <v>0.46</v>
      </c>
      <c r="AH254" s="41"/>
      <c r="AI254" s="41"/>
      <c r="AJ254" s="41"/>
    </row>
    <row r="255" spans="1:36" s="19" customFormat="1" x14ac:dyDescent="0.25">
      <c r="A255" s="12" t="s">
        <v>31</v>
      </c>
      <c r="B255" s="13">
        <v>9</v>
      </c>
      <c r="C255" s="12" t="s">
        <v>118</v>
      </c>
      <c r="D255" s="29">
        <v>44777</v>
      </c>
      <c r="E255" s="12">
        <v>400000</v>
      </c>
      <c r="F255" s="12">
        <v>29000</v>
      </c>
      <c r="G255" s="12">
        <v>-670</v>
      </c>
      <c r="H255" s="12">
        <v>950</v>
      </c>
      <c r="I255" s="12">
        <v>-1500</v>
      </c>
      <c r="J255" s="12">
        <v>7200</v>
      </c>
      <c r="K255" s="12">
        <v>-40</v>
      </c>
      <c r="L255" s="12">
        <v>110</v>
      </c>
      <c r="M255" s="12">
        <v>98.9</v>
      </c>
      <c r="N255" s="12">
        <v>7.5</v>
      </c>
      <c r="O255" s="15">
        <v>2.9</v>
      </c>
      <c r="P255" s="12">
        <v>217</v>
      </c>
      <c r="Q255" s="12">
        <v>17</v>
      </c>
      <c r="R255" s="12">
        <v>20</v>
      </c>
      <c r="S255" s="27">
        <v>502000</v>
      </c>
      <c r="T255" s="12">
        <v>46000</v>
      </c>
      <c r="U255" s="15">
        <v>0.49</v>
      </c>
      <c r="V255" s="12">
        <v>3250</v>
      </c>
      <c r="W255" s="12">
        <v>330</v>
      </c>
      <c r="X255" s="49">
        <v>0.13</v>
      </c>
      <c r="Y255" s="12">
        <v>8820</v>
      </c>
      <c r="Z255" s="12">
        <v>640</v>
      </c>
      <c r="AA255" s="15">
        <v>0.56000000000000005</v>
      </c>
      <c r="AH255" s="41"/>
      <c r="AI255" s="41"/>
      <c r="AJ255" s="41"/>
    </row>
    <row r="256" spans="1:36" x14ac:dyDescent="0.25">
      <c r="A256" s="2" t="s">
        <v>41</v>
      </c>
      <c r="B256" s="16">
        <v>1</v>
      </c>
      <c r="C256" s="2"/>
      <c r="D256" s="30">
        <v>44995</v>
      </c>
      <c r="E256" s="2"/>
      <c r="F256" s="2"/>
      <c r="G256" s="2"/>
      <c r="H256" s="2"/>
      <c r="I256" s="2"/>
      <c r="J256" s="2"/>
      <c r="K256" s="2"/>
      <c r="L256" s="2"/>
      <c r="M256" s="21">
        <v>583.81277535236904</v>
      </c>
      <c r="N256" s="21">
        <v>83.159862411483104</v>
      </c>
      <c r="O256" s="18">
        <v>18.0964442682331</v>
      </c>
      <c r="P256" s="21">
        <v>373.81864042196798</v>
      </c>
      <c r="Q256" s="21">
        <v>60.514758675390098</v>
      </c>
      <c r="R256" s="21">
        <v>81.642679498272599</v>
      </c>
      <c r="S256" s="31">
        <v>492516.14101256098</v>
      </c>
      <c r="T256" s="21">
        <v>66508.238649970503</v>
      </c>
      <c r="U256" s="18">
        <v>2.6949909670343102</v>
      </c>
      <c r="V256" s="21">
        <v>2388.5077370498402</v>
      </c>
      <c r="W256" s="21">
        <v>323.083241294787</v>
      </c>
      <c r="X256" s="48">
        <v>0.64707252277092897</v>
      </c>
      <c r="Y256" s="21">
        <v>11377.9390501663</v>
      </c>
      <c r="Z256" s="21">
        <v>1557.0410327239799</v>
      </c>
      <c r="AA256" s="18">
        <v>1.12086175124651</v>
      </c>
    </row>
    <row r="257" spans="1:36" x14ac:dyDescent="0.25">
      <c r="A257" s="2" t="s">
        <v>41</v>
      </c>
      <c r="B257" s="16">
        <v>2</v>
      </c>
      <c r="C257" s="2"/>
      <c r="D257" s="30">
        <v>44995</v>
      </c>
      <c r="E257" s="2"/>
      <c r="F257" s="2"/>
      <c r="G257" s="2"/>
      <c r="H257" s="2"/>
      <c r="I257" s="2"/>
      <c r="J257" s="2"/>
      <c r="K257" s="2"/>
      <c r="L257" s="2"/>
      <c r="M257" s="21">
        <v>484.82072495240101</v>
      </c>
      <c r="N257" s="21">
        <v>75.986491386274196</v>
      </c>
      <c r="O257" s="18">
        <v>16.103665525707399</v>
      </c>
      <c r="P257" s="21">
        <v>237.28577772094999</v>
      </c>
      <c r="Q257" s="21">
        <v>67.767718989736494</v>
      </c>
      <c r="R257" s="21">
        <v>95.943088914061605</v>
      </c>
      <c r="S257" s="31">
        <v>483006.93506681302</v>
      </c>
      <c r="T257" s="21">
        <v>74556.102776167303</v>
      </c>
      <c r="U257" s="18">
        <v>2.1575028955862798</v>
      </c>
      <c r="V257" s="21">
        <v>468.15489098299997</v>
      </c>
      <c r="W257" s="21">
        <v>75.994096096842</v>
      </c>
      <c r="X257" s="48">
        <v>0.66265578833560601</v>
      </c>
      <c r="Y257" s="21">
        <v>10758.768531056199</v>
      </c>
      <c r="Z257" s="21">
        <v>1500.3314263694001</v>
      </c>
      <c r="AA257" s="18">
        <v>0.93266314809753803</v>
      </c>
    </row>
    <row r="258" spans="1:36" x14ac:dyDescent="0.25">
      <c r="A258" s="2" t="s">
        <v>41</v>
      </c>
      <c r="B258" s="16">
        <v>3</v>
      </c>
      <c r="C258" s="2"/>
      <c r="D258" s="30">
        <v>44995</v>
      </c>
      <c r="E258" s="2"/>
      <c r="F258" s="2"/>
      <c r="G258" s="2"/>
      <c r="H258" s="2"/>
      <c r="I258" s="2"/>
      <c r="J258" s="2"/>
      <c r="K258" s="2"/>
      <c r="L258" s="2"/>
      <c r="M258" s="21">
        <v>445.84303334978301</v>
      </c>
      <c r="N258" s="21">
        <v>66.710604219198203</v>
      </c>
      <c r="O258" s="18">
        <v>15.975444714146899</v>
      </c>
      <c r="P258" s="21">
        <v>316.93940597204102</v>
      </c>
      <c r="Q258" s="21">
        <v>97.876787105602205</v>
      </c>
      <c r="R258" s="21">
        <v>97.885830924566903</v>
      </c>
      <c r="S258" s="31">
        <v>415072.91066139803</v>
      </c>
      <c r="T258" s="21">
        <v>59954.6955239788</v>
      </c>
      <c r="U258" s="18">
        <v>2.2315698133312698</v>
      </c>
      <c r="V258" s="21">
        <v>1479.02983960089</v>
      </c>
      <c r="W258" s="21">
        <v>220.1781551107</v>
      </c>
      <c r="X258" s="48">
        <v>0.64600372599974498</v>
      </c>
      <c r="Y258" s="21">
        <v>9054.22548045435</v>
      </c>
      <c r="Z258" s="21">
        <v>1261.5090852230301</v>
      </c>
      <c r="AA258" s="18">
        <v>0.91649637281767504</v>
      </c>
    </row>
    <row r="259" spans="1:36" x14ac:dyDescent="0.25">
      <c r="A259" s="2" t="s">
        <v>41</v>
      </c>
      <c r="B259" s="16">
        <v>4</v>
      </c>
      <c r="C259" s="2"/>
      <c r="D259" s="30">
        <v>44995</v>
      </c>
      <c r="E259" s="2"/>
      <c r="F259" s="2"/>
      <c r="G259" s="2"/>
      <c r="H259" s="2"/>
      <c r="I259" s="2"/>
      <c r="J259" s="2"/>
      <c r="K259" s="2"/>
      <c r="L259" s="2"/>
      <c r="M259" s="21">
        <v>494.936970624509</v>
      </c>
      <c r="N259" s="21">
        <v>63.060671447519503</v>
      </c>
      <c r="O259" s="18">
        <v>16.300765619496801</v>
      </c>
      <c r="P259" s="21">
        <v>301.64283323498103</v>
      </c>
      <c r="Q259" s="21">
        <v>80.061847599182897</v>
      </c>
      <c r="R259" s="21">
        <v>102.246642380585</v>
      </c>
      <c r="S259" s="31">
        <v>445081.80384410499</v>
      </c>
      <c r="T259" s="21">
        <v>64160.698282744997</v>
      </c>
      <c r="U259" s="18">
        <v>2.03769972600593</v>
      </c>
      <c r="V259" s="21">
        <v>689.73879784614405</v>
      </c>
      <c r="W259" s="21">
        <v>117.069941747586</v>
      </c>
      <c r="X259" s="48">
        <v>0.66725614420705703</v>
      </c>
      <c r="Y259" s="21">
        <v>9295.8060701164595</v>
      </c>
      <c r="Z259" s="21">
        <v>1215.2194089320401</v>
      </c>
      <c r="AA259" s="18">
        <v>1.3227291445674501</v>
      </c>
    </row>
    <row r="260" spans="1:36" s="19" customFormat="1" x14ac:dyDescent="0.25">
      <c r="A260" s="12" t="s">
        <v>43</v>
      </c>
      <c r="B260" s="13">
        <v>1</v>
      </c>
      <c r="C260" s="12"/>
      <c r="D260" s="29">
        <v>44995</v>
      </c>
      <c r="E260" s="12"/>
      <c r="F260" s="12"/>
      <c r="G260" s="12"/>
      <c r="H260" s="12"/>
      <c r="I260" s="12"/>
      <c r="J260" s="12"/>
      <c r="K260" s="12"/>
      <c r="L260" s="12"/>
      <c r="M260" s="22">
        <v>456.34651480092998</v>
      </c>
      <c r="N260" s="22">
        <v>128.39999384136399</v>
      </c>
      <c r="O260" s="15">
        <v>14.201695681260899</v>
      </c>
      <c r="P260" s="22">
        <v>585.92934932533001</v>
      </c>
      <c r="Q260" s="22">
        <v>130.86825623554199</v>
      </c>
      <c r="R260" s="22">
        <v>88.055855649404606</v>
      </c>
      <c r="S260" s="27">
        <v>861641.10309706605</v>
      </c>
      <c r="T260" s="22">
        <v>230195.642687588</v>
      </c>
      <c r="U260" s="15">
        <v>1.68501690177034</v>
      </c>
      <c r="V260" s="22">
        <v>1752.04385298123</v>
      </c>
      <c r="W260" s="22">
        <v>381.61095373342698</v>
      </c>
      <c r="X260" s="49">
        <v>0.71479305147045802</v>
      </c>
      <c r="Y260" s="22">
        <v>15321.5866808622</v>
      </c>
      <c r="Z260" s="22">
        <v>3770.9035200457802</v>
      </c>
      <c r="AA260" s="15">
        <v>0.719683475992277</v>
      </c>
      <c r="AH260" s="41"/>
      <c r="AI260" s="41"/>
      <c r="AJ260" s="41"/>
    </row>
    <row r="261" spans="1:36" s="19" customFormat="1" x14ac:dyDescent="0.25">
      <c r="A261" s="12" t="s">
        <v>43</v>
      </c>
      <c r="B261" s="13">
        <v>2</v>
      </c>
      <c r="C261" s="12"/>
      <c r="D261" s="29">
        <v>44995</v>
      </c>
      <c r="E261" s="12"/>
      <c r="F261" s="12"/>
      <c r="G261" s="12"/>
      <c r="H261" s="12"/>
      <c r="I261" s="12"/>
      <c r="J261" s="12"/>
      <c r="K261" s="12"/>
      <c r="L261" s="12"/>
      <c r="M261" s="22">
        <v>415.56291060589899</v>
      </c>
      <c r="N261" s="22">
        <v>96.548285631477498</v>
      </c>
      <c r="O261" s="15">
        <v>16.9797095376241</v>
      </c>
      <c r="P261" s="22">
        <v>521.43243099677704</v>
      </c>
      <c r="Q261" s="22">
        <v>143.894221327303</v>
      </c>
      <c r="R261" s="22">
        <v>103.05425094980799</v>
      </c>
      <c r="S261" s="27">
        <v>676106.26779946405</v>
      </c>
      <c r="T261" s="22">
        <v>187869.19283812601</v>
      </c>
      <c r="U261" s="15">
        <v>1.5677059164726801</v>
      </c>
      <c r="V261" s="22">
        <v>1297.1720983334101</v>
      </c>
      <c r="W261" s="22">
        <v>219.559327069137</v>
      </c>
      <c r="X261" s="49">
        <v>0.64499013591133003</v>
      </c>
      <c r="Y261" s="22">
        <v>14131.102413492999</v>
      </c>
      <c r="Z261" s="22">
        <v>2419.7250551341499</v>
      </c>
      <c r="AA261" s="15">
        <v>1.70936335070349</v>
      </c>
      <c r="AH261" s="41"/>
      <c r="AI261" s="41"/>
      <c r="AJ261" s="41"/>
    </row>
    <row r="262" spans="1:36" s="19" customFormat="1" x14ac:dyDescent="0.25">
      <c r="A262" s="12" t="s">
        <v>43</v>
      </c>
      <c r="B262" s="13">
        <v>3</v>
      </c>
      <c r="C262" s="12"/>
      <c r="D262" s="29">
        <v>44995</v>
      </c>
      <c r="E262" s="12"/>
      <c r="F262" s="12"/>
      <c r="G262" s="12"/>
      <c r="H262" s="12"/>
      <c r="I262" s="12"/>
      <c r="J262" s="12"/>
      <c r="K262" s="12"/>
      <c r="L262" s="12"/>
      <c r="M262" s="22">
        <v>388.01675955067799</v>
      </c>
      <c r="N262" s="22">
        <v>99.375974068207199</v>
      </c>
      <c r="O262" s="15">
        <v>14.189565794985301</v>
      </c>
      <c r="P262" s="22">
        <v>456.35330832785701</v>
      </c>
      <c r="Q262" s="22">
        <v>116.619554847754</v>
      </c>
      <c r="R262" s="22">
        <v>94.685814140607903</v>
      </c>
      <c r="S262" s="27">
        <v>765630.65075975296</v>
      </c>
      <c r="T262" s="22">
        <v>261679.092424345</v>
      </c>
      <c r="U262" s="15">
        <v>2.4068743056977602</v>
      </c>
      <c r="V262" s="22">
        <v>1568.7534696770001</v>
      </c>
      <c r="W262" s="22">
        <v>498.26444927210599</v>
      </c>
      <c r="X262" s="49">
        <v>0.58615119092123302</v>
      </c>
      <c r="Y262" s="22">
        <v>15207.262036550301</v>
      </c>
      <c r="Z262" s="22">
        <v>3314.7783126306399</v>
      </c>
      <c r="AA262" s="15">
        <v>1.6098797442739099</v>
      </c>
      <c r="AH262" s="41"/>
      <c r="AI262" s="41"/>
      <c r="AJ262" s="41"/>
    </row>
    <row r="263" spans="1:36" x14ac:dyDescent="0.25">
      <c r="A263" s="11" t="s">
        <v>32</v>
      </c>
      <c r="B263" s="8">
        <v>1</v>
      </c>
      <c r="C263" s="2"/>
      <c r="D263" s="8" t="s">
        <v>183</v>
      </c>
      <c r="E263" s="2"/>
      <c r="F263" s="2"/>
      <c r="G263" s="2"/>
      <c r="H263" s="2"/>
      <c r="I263" s="2"/>
      <c r="J263" s="2"/>
      <c r="K263" s="2"/>
      <c r="L263" s="2"/>
      <c r="M263" s="20">
        <v>523</v>
      </c>
      <c r="N263" s="20">
        <v>59</v>
      </c>
      <c r="O263" s="17">
        <v>7.4</v>
      </c>
      <c r="P263" s="2"/>
      <c r="Q263" s="2"/>
      <c r="R263" s="2"/>
      <c r="S263" s="32">
        <v>640000</v>
      </c>
      <c r="T263" s="20">
        <v>110000</v>
      </c>
      <c r="U263" s="17">
        <v>0.59</v>
      </c>
      <c r="V263" s="2"/>
      <c r="W263" s="2"/>
      <c r="X263" s="48"/>
      <c r="Y263" s="2"/>
      <c r="Z263" s="2"/>
      <c r="AA263" s="18"/>
    </row>
    <row r="264" spans="1:36" x14ac:dyDescent="0.25">
      <c r="A264" s="11" t="s">
        <v>32</v>
      </c>
      <c r="B264" s="8">
        <v>2</v>
      </c>
      <c r="C264" s="2"/>
      <c r="D264" s="8" t="s">
        <v>183</v>
      </c>
      <c r="E264" s="2"/>
      <c r="F264" s="2"/>
      <c r="G264" s="2"/>
      <c r="H264" s="2"/>
      <c r="I264" s="2"/>
      <c r="J264" s="2"/>
      <c r="K264" s="2"/>
      <c r="L264" s="2"/>
      <c r="M264" s="20">
        <v>513</v>
      </c>
      <c r="N264" s="20">
        <v>55</v>
      </c>
      <c r="O264" s="17">
        <v>6.7</v>
      </c>
      <c r="P264" s="2"/>
      <c r="Q264" s="2"/>
      <c r="R264" s="2"/>
      <c r="S264" s="32">
        <v>519000</v>
      </c>
      <c r="T264" s="20">
        <v>54000</v>
      </c>
      <c r="U264" s="17">
        <v>0.61</v>
      </c>
      <c r="V264" s="2"/>
      <c r="W264" s="2"/>
      <c r="X264" s="48"/>
      <c r="Y264" s="2"/>
      <c r="Z264" s="2"/>
      <c r="AA264" s="18"/>
    </row>
    <row r="265" spans="1:36" x14ac:dyDescent="0.25">
      <c r="A265" s="11" t="s">
        <v>32</v>
      </c>
      <c r="B265" s="8">
        <v>3</v>
      </c>
      <c r="C265" s="2"/>
      <c r="D265" s="8" t="s">
        <v>183</v>
      </c>
      <c r="E265" s="2"/>
      <c r="F265" s="2"/>
      <c r="G265" s="2"/>
      <c r="H265" s="2"/>
      <c r="I265" s="2"/>
      <c r="J265" s="2"/>
      <c r="K265" s="2"/>
      <c r="L265" s="2"/>
      <c r="M265" s="20">
        <v>462</v>
      </c>
      <c r="N265" s="20">
        <v>74</v>
      </c>
      <c r="O265" s="17">
        <v>6.7</v>
      </c>
      <c r="P265" s="2"/>
      <c r="Q265" s="2"/>
      <c r="R265" s="2"/>
      <c r="S265" s="32">
        <v>610000</v>
      </c>
      <c r="T265" s="20">
        <v>150000</v>
      </c>
      <c r="U265" s="17">
        <v>0.47</v>
      </c>
      <c r="V265" s="2"/>
      <c r="W265" s="2"/>
      <c r="X265" s="48"/>
      <c r="Y265" s="2"/>
      <c r="Z265" s="2"/>
      <c r="AA265" s="18"/>
    </row>
    <row r="266" spans="1:36" x14ac:dyDescent="0.25">
      <c r="A266" s="11" t="s">
        <v>32</v>
      </c>
      <c r="B266" s="8">
        <v>4</v>
      </c>
      <c r="C266" s="2"/>
      <c r="D266" s="8" t="s">
        <v>183</v>
      </c>
      <c r="E266" s="2"/>
      <c r="F266" s="2"/>
      <c r="G266" s="2"/>
      <c r="H266" s="2"/>
      <c r="I266" s="2"/>
      <c r="J266" s="2"/>
      <c r="K266" s="2"/>
      <c r="L266" s="2"/>
      <c r="M266" s="20">
        <v>294</v>
      </c>
      <c r="N266" s="20">
        <v>80</v>
      </c>
      <c r="O266" s="17">
        <v>7.3</v>
      </c>
      <c r="P266" s="2"/>
      <c r="Q266" s="2"/>
      <c r="R266" s="2"/>
      <c r="S266" s="32">
        <v>425000</v>
      </c>
      <c r="T266" s="20">
        <v>96000</v>
      </c>
      <c r="U266" s="17">
        <v>0.5</v>
      </c>
      <c r="V266" s="2"/>
      <c r="W266" s="2"/>
      <c r="X266" s="48"/>
      <c r="Y266" s="2"/>
      <c r="Z266" s="2"/>
      <c r="AA266" s="18"/>
    </row>
    <row r="267" spans="1:36" s="19" customFormat="1" x14ac:dyDescent="0.25">
      <c r="A267" s="10" t="s">
        <v>184</v>
      </c>
      <c r="B267" s="6">
        <v>1</v>
      </c>
      <c r="C267" s="12"/>
      <c r="D267" s="6" t="s">
        <v>185</v>
      </c>
      <c r="E267" s="12"/>
      <c r="F267" s="12"/>
      <c r="G267" s="12"/>
      <c r="H267" s="12"/>
      <c r="I267" s="12"/>
      <c r="J267" s="12"/>
      <c r="K267" s="12"/>
      <c r="L267" s="12"/>
      <c r="M267" s="12">
        <v>354</v>
      </c>
      <c r="N267" s="12">
        <v>76</v>
      </c>
      <c r="O267" s="15">
        <v>8.6999999999999993</v>
      </c>
      <c r="P267" s="12">
        <v>112</v>
      </c>
      <c r="Q267" s="12">
        <v>70</v>
      </c>
      <c r="R267" s="12">
        <v>41</v>
      </c>
      <c r="S267" s="27">
        <v>820000</v>
      </c>
      <c r="T267" s="12">
        <v>150000</v>
      </c>
      <c r="U267" s="15">
        <v>2.1</v>
      </c>
      <c r="V267" s="12">
        <v>163</v>
      </c>
      <c r="W267" s="12">
        <v>25</v>
      </c>
      <c r="X267" s="49">
        <v>2.9000000000000001E-2</v>
      </c>
      <c r="Y267" s="12">
        <v>13700</v>
      </c>
      <c r="Z267" s="12">
        <v>3500</v>
      </c>
      <c r="AA267" s="15">
        <v>0.49</v>
      </c>
      <c r="AH267" s="41"/>
      <c r="AI267" s="41"/>
      <c r="AJ267" s="41"/>
    </row>
    <row r="268" spans="1:36" s="19" customFormat="1" x14ac:dyDescent="0.25">
      <c r="A268" s="10" t="s">
        <v>184</v>
      </c>
      <c r="B268" s="6">
        <v>2</v>
      </c>
      <c r="C268" s="12"/>
      <c r="D268" s="6" t="s">
        <v>185</v>
      </c>
      <c r="E268" s="12"/>
      <c r="F268" s="12"/>
      <c r="G268" s="12"/>
      <c r="H268" s="12"/>
      <c r="I268" s="12"/>
      <c r="J268" s="12"/>
      <c r="K268" s="12"/>
      <c r="L268" s="12"/>
      <c r="M268" s="12">
        <v>395</v>
      </c>
      <c r="N268" s="12">
        <v>34</v>
      </c>
      <c r="O268" s="15">
        <v>6</v>
      </c>
      <c r="P268" s="12">
        <v>79</v>
      </c>
      <c r="Q268" s="12">
        <v>31</v>
      </c>
      <c r="R268" s="12">
        <v>30</v>
      </c>
      <c r="S268" s="27">
        <v>821000</v>
      </c>
      <c r="T268" s="12">
        <v>96000</v>
      </c>
      <c r="U268" s="15">
        <v>1.5</v>
      </c>
      <c r="V268" s="12">
        <v>176</v>
      </c>
      <c r="W268" s="12">
        <v>21</v>
      </c>
      <c r="X268" s="49">
        <v>0.03</v>
      </c>
      <c r="Y268" s="12">
        <v>12100</v>
      </c>
      <c r="Z268" s="12">
        <v>1500</v>
      </c>
      <c r="AA268" s="15">
        <v>0.2</v>
      </c>
      <c r="AH268" s="41"/>
      <c r="AI268" s="41"/>
      <c r="AJ268" s="41"/>
    </row>
    <row r="269" spans="1:36" s="19" customFormat="1" x14ac:dyDescent="0.25">
      <c r="A269" s="10" t="s">
        <v>58</v>
      </c>
      <c r="B269" s="6">
        <v>4</v>
      </c>
      <c r="C269" s="12"/>
      <c r="D269" s="6" t="s">
        <v>185</v>
      </c>
      <c r="E269" s="12"/>
      <c r="F269" s="12"/>
      <c r="G269" s="12"/>
      <c r="H269" s="12"/>
      <c r="I269" s="12"/>
      <c r="J269" s="12"/>
      <c r="K269" s="12"/>
      <c r="L269" s="12"/>
      <c r="M269" s="12">
        <v>375</v>
      </c>
      <c r="N269" s="12">
        <v>96</v>
      </c>
      <c r="O269" s="15">
        <v>7.7</v>
      </c>
      <c r="P269" s="12">
        <v>74</v>
      </c>
      <c r="Q269" s="12">
        <v>53</v>
      </c>
      <c r="R269" s="12">
        <v>39</v>
      </c>
      <c r="S269" s="27">
        <v>735000</v>
      </c>
      <c r="T269" s="12">
        <v>93000</v>
      </c>
      <c r="U269" s="15">
        <v>1.5</v>
      </c>
      <c r="V269" s="12">
        <v>169</v>
      </c>
      <c r="W269" s="12">
        <v>18</v>
      </c>
      <c r="X269" s="49">
        <v>4.1000000000000002E-2</v>
      </c>
      <c r="Y269" s="12">
        <v>11600</v>
      </c>
      <c r="Z269" s="12">
        <v>2800</v>
      </c>
      <c r="AA269" s="15">
        <v>0.44</v>
      </c>
      <c r="AH269" s="41"/>
      <c r="AI269" s="41"/>
      <c r="AJ269" s="41"/>
    </row>
    <row r="270" spans="1:36" s="19" customFormat="1" x14ac:dyDescent="0.25">
      <c r="A270" s="10" t="s">
        <v>58</v>
      </c>
      <c r="B270" s="6">
        <v>5</v>
      </c>
      <c r="C270" s="12"/>
      <c r="D270" s="6" t="s">
        <v>185</v>
      </c>
      <c r="E270" s="12"/>
      <c r="F270" s="12"/>
      <c r="G270" s="12"/>
      <c r="H270" s="12"/>
      <c r="I270" s="12"/>
      <c r="J270" s="12"/>
      <c r="K270" s="12"/>
      <c r="L270" s="12"/>
      <c r="M270" s="12">
        <v>340</v>
      </c>
      <c r="N270" s="12">
        <v>67</v>
      </c>
      <c r="O270" s="15">
        <v>5.7</v>
      </c>
      <c r="P270" s="12">
        <v>61</v>
      </c>
      <c r="Q270" s="12">
        <v>14</v>
      </c>
      <c r="R270" s="12">
        <v>31</v>
      </c>
      <c r="S270" s="27">
        <v>620000</v>
      </c>
      <c r="T270" s="12">
        <v>120000</v>
      </c>
      <c r="U270" s="15">
        <v>1.4</v>
      </c>
      <c r="V270" s="12">
        <v>185</v>
      </c>
      <c r="W270" s="12">
        <v>23</v>
      </c>
      <c r="X270" s="49">
        <v>3.9E-2</v>
      </c>
      <c r="Y270" s="12">
        <v>12200</v>
      </c>
      <c r="Z270" s="12">
        <v>1000</v>
      </c>
      <c r="AA270" s="15">
        <v>0.34</v>
      </c>
      <c r="AH270" s="41"/>
      <c r="AI270" s="41"/>
      <c r="AJ270" s="41"/>
    </row>
    <row r="271" spans="1:36" s="19" customFormat="1" x14ac:dyDescent="0.25">
      <c r="A271" s="10" t="s">
        <v>58</v>
      </c>
      <c r="B271" s="6">
        <v>6</v>
      </c>
      <c r="C271" s="12"/>
      <c r="D271" s="6" t="s">
        <v>185</v>
      </c>
      <c r="E271" s="12"/>
      <c r="F271" s="12"/>
      <c r="G271" s="12"/>
      <c r="H271" s="12"/>
      <c r="I271" s="12"/>
      <c r="J271" s="12"/>
      <c r="K271" s="12"/>
      <c r="L271" s="12"/>
      <c r="M271" s="12">
        <v>404</v>
      </c>
      <c r="N271" s="12">
        <v>99</v>
      </c>
      <c r="O271" s="15">
        <v>8.4</v>
      </c>
      <c r="P271" s="12">
        <v>119</v>
      </c>
      <c r="Q271" s="12">
        <v>75</v>
      </c>
      <c r="R271" s="12">
        <v>43</v>
      </c>
      <c r="S271" s="27">
        <v>730000</v>
      </c>
      <c r="T271" s="12">
        <v>160000</v>
      </c>
      <c r="U271" s="15">
        <v>1.3</v>
      </c>
      <c r="V271" s="12">
        <v>185</v>
      </c>
      <c r="W271" s="12">
        <v>33</v>
      </c>
      <c r="X271" s="49">
        <v>3.6999999999999998E-2</v>
      </c>
      <c r="Y271" s="12">
        <v>18900</v>
      </c>
      <c r="Z271" s="12">
        <v>6100</v>
      </c>
      <c r="AA271" s="15">
        <v>0.25</v>
      </c>
      <c r="AH271" s="41"/>
      <c r="AI271" s="41"/>
      <c r="AJ271" s="41"/>
    </row>
    <row r="272" spans="1:36" s="19" customFormat="1" x14ac:dyDescent="0.25">
      <c r="A272" s="10" t="s">
        <v>58</v>
      </c>
      <c r="B272" s="6">
        <v>7</v>
      </c>
      <c r="C272" s="12"/>
      <c r="D272" s="6" t="s">
        <v>185</v>
      </c>
      <c r="E272" s="12"/>
      <c r="F272" s="12"/>
      <c r="G272" s="12"/>
      <c r="H272" s="12"/>
      <c r="I272" s="12"/>
      <c r="J272" s="12"/>
      <c r="K272" s="12"/>
      <c r="L272" s="12"/>
      <c r="M272" s="12">
        <v>424</v>
      </c>
      <c r="N272" s="12">
        <v>82</v>
      </c>
      <c r="O272" s="15">
        <v>6.3</v>
      </c>
      <c r="P272" s="12">
        <v>83</v>
      </c>
      <c r="Q272" s="12">
        <v>32</v>
      </c>
      <c r="R272" s="12">
        <v>35</v>
      </c>
      <c r="S272" s="27">
        <v>840000</v>
      </c>
      <c r="T272" s="12">
        <v>160000</v>
      </c>
      <c r="U272" s="15">
        <v>1.5</v>
      </c>
      <c r="V272" s="12">
        <v>180</v>
      </c>
      <c r="W272" s="12">
        <v>23</v>
      </c>
      <c r="X272" s="49">
        <v>2.3E-2</v>
      </c>
      <c r="Y272" s="12">
        <v>14000</v>
      </c>
      <c r="Z272" s="12">
        <v>1600</v>
      </c>
      <c r="AA272" s="15">
        <v>0.22</v>
      </c>
      <c r="AH272" s="41"/>
      <c r="AI272" s="41"/>
      <c r="AJ272" s="41"/>
    </row>
    <row r="273" spans="1:36" x14ac:dyDescent="0.25">
      <c r="A273" s="11" t="s">
        <v>186</v>
      </c>
      <c r="B273" s="8">
        <v>1</v>
      </c>
      <c r="C273" s="2"/>
      <c r="D273" s="8" t="s">
        <v>185</v>
      </c>
      <c r="E273" s="2"/>
      <c r="F273" s="2"/>
      <c r="G273" s="2"/>
      <c r="H273" s="2"/>
      <c r="I273" s="2"/>
      <c r="J273" s="2"/>
      <c r="K273" s="2"/>
      <c r="L273" s="2"/>
      <c r="M273" s="2">
        <v>375</v>
      </c>
      <c r="N273" s="2">
        <v>67</v>
      </c>
      <c r="O273" s="18">
        <v>11</v>
      </c>
      <c r="P273" s="2">
        <v>101</v>
      </c>
      <c r="Q273" s="2">
        <v>46</v>
      </c>
      <c r="R273" s="2">
        <v>45</v>
      </c>
      <c r="S273" s="31">
        <v>720000</v>
      </c>
      <c r="T273" s="2">
        <v>140000</v>
      </c>
      <c r="U273" s="18">
        <v>2.2000000000000002</v>
      </c>
      <c r="V273" s="2">
        <v>640</v>
      </c>
      <c r="W273" s="2">
        <v>120</v>
      </c>
      <c r="X273" s="48">
        <v>6.5000000000000002E-2</v>
      </c>
      <c r="Y273" s="2">
        <v>16500</v>
      </c>
      <c r="Z273" s="2">
        <v>3900</v>
      </c>
      <c r="AA273" s="18">
        <v>0.24</v>
      </c>
    </row>
    <row r="274" spans="1:36" x14ac:dyDescent="0.25">
      <c r="A274" s="11" t="s">
        <v>186</v>
      </c>
      <c r="B274" s="8">
        <v>2</v>
      </c>
      <c r="C274" s="2"/>
      <c r="D274" s="8" t="s">
        <v>185</v>
      </c>
      <c r="E274" s="2"/>
      <c r="F274" s="2"/>
      <c r="G274" s="2"/>
      <c r="H274" s="2"/>
      <c r="I274" s="2"/>
      <c r="J274" s="2"/>
      <c r="K274" s="2"/>
      <c r="L274" s="2"/>
      <c r="M274" s="2">
        <v>530</v>
      </c>
      <c r="N274" s="2">
        <v>170</v>
      </c>
      <c r="O274" s="18">
        <v>12</v>
      </c>
      <c r="P274" s="2">
        <v>93</v>
      </c>
      <c r="Q274" s="2">
        <v>93</v>
      </c>
      <c r="R274" s="2">
        <v>53</v>
      </c>
      <c r="S274" s="31">
        <v>800000</v>
      </c>
      <c r="T274" s="2">
        <v>160000</v>
      </c>
      <c r="U274" s="18">
        <v>3.3</v>
      </c>
      <c r="V274" s="2">
        <v>690</v>
      </c>
      <c r="W274" s="2">
        <v>150</v>
      </c>
      <c r="X274" s="48">
        <v>9.8000000000000004E-2</v>
      </c>
      <c r="Y274" s="2">
        <v>15000</v>
      </c>
      <c r="Z274" s="2">
        <v>3300</v>
      </c>
      <c r="AA274" s="18">
        <v>0.56999999999999995</v>
      </c>
    </row>
    <row r="275" spans="1:36" x14ac:dyDescent="0.25">
      <c r="A275" s="11" t="s">
        <v>186</v>
      </c>
      <c r="B275" s="8">
        <v>3</v>
      </c>
      <c r="C275" s="2"/>
      <c r="D275" s="8" t="s">
        <v>185</v>
      </c>
      <c r="E275" s="2"/>
      <c r="F275" s="2"/>
      <c r="G275" s="2"/>
      <c r="H275" s="2"/>
      <c r="I275" s="2"/>
      <c r="J275" s="2"/>
      <c r="K275" s="2"/>
      <c r="L275" s="2"/>
      <c r="M275" s="2">
        <v>511</v>
      </c>
      <c r="N275" s="2">
        <v>75</v>
      </c>
      <c r="O275" s="18">
        <v>8.1999999999999993</v>
      </c>
      <c r="P275" s="2">
        <v>54</v>
      </c>
      <c r="Q275" s="2">
        <v>31</v>
      </c>
      <c r="R275" s="2">
        <v>37</v>
      </c>
      <c r="S275" s="31">
        <v>710000</v>
      </c>
      <c r="T275" s="2">
        <v>100000</v>
      </c>
      <c r="U275" s="18">
        <v>1.6</v>
      </c>
      <c r="V275" s="2">
        <v>548</v>
      </c>
      <c r="W275" s="2">
        <v>69</v>
      </c>
      <c r="X275" s="48">
        <v>6.5000000000000002E-2</v>
      </c>
      <c r="Y275" s="2">
        <v>13900</v>
      </c>
      <c r="Z275" s="2">
        <v>1400</v>
      </c>
      <c r="AA275" s="18">
        <v>0.32</v>
      </c>
    </row>
    <row r="276" spans="1:36" x14ac:dyDescent="0.25">
      <c r="A276" s="11" t="s">
        <v>186</v>
      </c>
      <c r="B276" s="8">
        <v>4</v>
      </c>
      <c r="C276" s="2"/>
      <c r="D276" s="8" t="s">
        <v>185</v>
      </c>
      <c r="E276" s="2"/>
      <c r="F276" s="2"/>
      <c r="G276" s="2"/>
      <c r="H276" s="2"/>
      <c r="I276" s="2"/>
      <c r="J276" s="2"/>
      <c r="K276" s="2"/>
      <c r="L276" s="2"/>
      <c r="M276" s="2">
        <v>415</v>
      </c>
      <c r="N276" s="2">
        <v>56</v>
      </c>
      <c r="O276" s="18">
        <v>7.8</v>
      </c>
      <c r="P276" s="2"/>
      <c r="Q276" s="2"/>
      <c r="R276" s="2">
        <v>40</v>
      </c>
      <c r="S276" s="31">
        <v>600000</v>
      </c>
      <c r="T276" s="2">
        <v>120000</v>
      </c>
      <c r="U276" s="18">
        <v>2.9</v>
      </c>
      <c r="V276" s="2">
        <v>481</v>
      </c>
      <c r="W276" s="2">
        <v>59</v>
      </c>
      <c r="X276" s="48">
        <v>4.4999999999999998E-2</v>
      </c>
      <c r="Y276" s="2">
        <v>12900</v>
      </c>
      <c r="Z276" s="2">
        <v>2100</v>
      </c>
      <c r="AA276" s="18">
        <v>0.2</v>
      </c>
    </row>
    <row r="277" spans="1:36" x14ac:dyDescent="0.25">
      <c r="A277" s="11" t="s">
        <v>186</v>
      </c>
      <c r="B277" s="8">
        <v>5</v>
      </c>
      <c r="C277" s="2"/>
      <c r="D277" s="8" t="s">
        <v>185</v>
      </c>
      <c r="E277" s="2"/>
      <c r="F277" s="2"/>
      <c r="G277" s="2"/>
      <c r="H277" s="2"/>
      <c r="I277" s="2"/>
      <c r="J277" s="2"/>
      <c r="K277" s="2"/>
      <c r="L277" s="2"/>
      <c r="M277" s="2">
        <v>449</v>
      </c>
      <c r="N277" s="2">
        <v>56</v>
      </c>
      <c r="O277" s="18">
        <v>8.4</v>
      </c>
      <c r="P277" s="2">
        <v>46</v>
      </c>
      <c r="Q277" s="2">
        <v>19</v>
      </c>
      <c r="R277" s="2">
        <v>34</v>
      </c>
      <c r="S277" s="31">
        <v>540000</v>
      </c>
      <c r="T277" s="2">
        <v>100000</v>
      </c>
      <c r="U277" s="18">
        <v>1.9</v>
      </c>
      <c r="V277" s="2">
        <v>379</v>
      </c>
      <c r="W277" s="2">
        <v>51</v>
      </c>
      <c r="X277" s="48">
        <v>4.9000000000000002E-2</v>
      </c>
      <c r="Y277" s="2">
        <v>13400</v>
      </c>
      <c r="Z277" s="2">
        <v>1000</v>
      </c>
      <c r="AA277" s="18">
        <v>0.31</v>
      </c>
    </row>
    <row r="278" spans="1:36" s="19" customFormat="1" x14ac:dyDescent="0.25">
      <c r="A278" s="10" t="s">
        <v>187</v>
      </c>
      <c r="B278" s="6">
        <v>1</v>
      </c>
      <c r="C278" s="12"/>
      <c r="D278" s="6" t="s">
        <v>185</v>
      </c>
      <c r="E278" s="12"/>
      <c r="F278" s="12"/>
      <c r="G278" s="12"/>
      <c r="H278" s="12"/>
      <c r="I278" s="12"/>
      <c r="J278" s="12"/>
      <c r="K278" s="12"/>
      <c r="L278" s="12"/>
      <c r="M278" s="12">
        <v>283</v>
      </c>
      <c r="N278" s="12">
        <v>55</v>
      </c>
      <c r="O278" s="15">
        <v>8.6</v>
      </c>
      <c r="P278" s="12">
        <v>97</v>
      </c>
      <c r="Q278" s="12">
        <v>44</v>
      </c>
      <c r="R278" s="12">
        <v>33</v>
      </c>
      <c r="S278" s="27">
        <v>790000</v>
      </c>
      <c r="T278" s="12">
        <v>180000</v>
      </c>
      <c r="U278" s="15">
        <v>2.4</v>
      </c>
      <c r="V278" s="12">
        <v>1000</v>
      </c>
      <c r="W278" s="12">
        <v>190</v>
      </c>
      <c r="X278" s="49">
        <v>5.0999999999999997E-2</v>
      </c>
      <c r="Y278" s="12">
        <v>13200</v>
      </c>
      <c r="Z278" s="12">
        <v>2200</v>
      </c>
      <c r="AA278" s="15">
        <v>0.26</v>
      </c>
      <c r="AH278" s="41"/>
      <c r="AI278" s="41"/>
      <c r="AJ278" s="41"/>
    </row>
    <row r="279" spans="1:36" s="19" customFormat="1" x14ac:dyDescent="0.25">
      <c r="A279" s="10" t="s">
        <v>187</v>
      </c>
      <c r="B279" s="6">
        <v>2</v>
      </c>
      <c r="C279" s="12"/>
      <c r="D279" s="6" t="s">
        <v>185</v>
      </c>
      <c r="E279" s="12"/>
      <c r="F279" s="12"/>
      <c r="G279" s="12"/>
      <c r="H279" s="12"/>
      <c r="I279" s="12"/>
      <c r="J279" s="12"/>
      <c r="K279" s="12"/>
      <c r="L279" s="12"/>
      <c r="M279" s="12">
        <v>206</v>
      </c>
      <c r="N279" s="12">
        <v>26</v>
      </c>
      <c r="O279" s="15">
        <v>14</v>
      </c>
      <c r="P279" s="12">
        <v>149</v>
      </c>
      <c r="Q279" s="12">
        <v>38</v>
      </c>
      <c r="R279" s="12">
        <v>56</v>
      </c>
      <c r="S279" s="27">
        <v>652000</v>
      </c>
      <c r="T279" s="12">
        <v>99000</v>
      </c>
      <c r="U279" s="15">
        <v>4.3</v>
      </c>
      <c r="V279" s="12">
        <v>1140</v>
      </c>
      <c r="W279" s="12">
        <v>190</v>
      </c>
      <c r="X279" s="49">
        <v>0.05</v>
      </c>
      <c r="Y279" s="12">
        <v>12700</v>
      </c>
      <c r="Z279" s="12">
        <v>1900</v>
      </c>
      <c r="AA279" s="15">
        <v>0.3</v>
      </c>
      <c r="AH279" s="41"/>
      <c r="AI279" s="41"/>
      <c r="AJ279" s="41"/>
    </row>
    <row r="280" spans="1:36" s="19" customFormat="1" x14ac:dyDescent="0.25">
      <c r="A280" s="10" t="s">
        <v>187</v>
      </c>
      <c r="B280" s="6">
        <v>3</v>
      </c>
      <c r="C280" s="12"/>
      <c r="D280" s="6" t="s">
        <v>185</v>
      </c>
      <c r="E280" s="12"/>
      <c r="F280" s="12"/>
      <c r="G280" s="12"/>
      <c r="H280" s="12"/>
      <c r="I280" s="12"/>
      <c r="J280" s="12"/>
      <c r="K280" s="12"/>
      <c r="L280" s="12"/>
      <c r="M280" s="12">
        <v>152</v>
      </c>
      <c r="N280" s="12">
        <v>31</v>
      </c>
      <c r="O280" s="15">
        <v>14</v>
      </c>
      <c r="P280" s="12">
        <v>106</v>
      </c>
      <c r="Q280" s="12">
        <v>75</v>
      </c>
      <c r="R280" s="12">
        <v>57</v>
      </c>
      <c r="S280" s="27">
        <v>520000</v>
      </c>
      <c r="T280" s="12">
        <v>140000</v>
      </c>
      <c r="U280" s="15">
        <v>3.4</v>
      </c>
      <c r="V280" s="12">
        <v>680</v>
      </c>
      <c r="W280" s="12">
        <v>150</v>
      </c>
      <c r="X280" s="49"/>
      <c r="Y280" s="12">
        <v>12300</v>
      </c>
      <c r="Z280" s="12">
        <v>2600</v>
      </c>
      <c r="AA280" s="15"/>
      <c r="AH280" s="41"/>
      <c r="AI280" s="41"/>
      <c r="AJ280" s="41"/>
    </row>
    <row r="281" spans="1:36" s="19" customFormat="1" x14ac:dyDescent="0.25">
      <c r="A281" s="10" t="s">
        <v>187</v>
      </c>
      <c r="B281" s="6">
        <v>4</v>
      </c>
      <c r="C281" s="12"/>
      <c r="D281" s="6" t="s">
        <v>185</v>
      </c>
      <c r="E281" s="12"/>
      <c r="F281" s="12"/>
      <c r="G281" s="12"/>
      <c r="H281" s="12"/>
      <c r="I281" s="12"/>
      <c r="J281" s="12"/>
      <c r="K281" s="12"/>
      <c r="L281" s="12"/>
      <c r="M281" s="12">
        <v>145</v>
      </c>
      <c r="N281" s="12">
        <v>24</v>
      </c>
      <c r="O281" s="15">
        <v>11</v>
      </c>
      <c r="P281" s="12">
        <v>94</v>
      </c>
      <c r="Q281" s="12">
        <v>28</v>
      </c>
      <c r="R281" s="12">
        <v>46</v>
      </c>
      <c r="S281" s="27">
        <v>439000</v>
      </c>
      <c r="T281" s="12">
        <v>93000</v>
      </c>
      <c r="U281" s="15">
        <v>1.8</v>
      </c>
      <c r="V281" s="12">
        <v>720</v>
      </c>
      <c r="W281" s="12">
        <v>110</v>
      </c>
      <c r="X281" s="49">
        <v>9.0999999999999998E-2</v>
      </c>
      <c r="Y281" s="12">
        <v>11000</v>
      </c>
      <c r="Z281" s="12">
        <v>1100</v>
      </c>
      <c r="AA281" s="15"/>
      <c r="AH281" s="41"/>
      <c r="AI281" s="41"/>
      <c r="AJ281" s="41"/>
    </row>
    <row r="282" spans="1:36" s="19" customFormat="1" x14ac:dyDescent="0.25">
      <c r="A282" s="10" t="s">
        <v>187</v>
      </c>
      <c r="B282" s="6">
        <v>5</v>
      </c>
      <c r="C282" s="12"/>
      <c r="D282" s="6" t="s">
        <v>185</v>
      </c>
      <c r="E282" s="12"/>
      <c r="F282" s="12"/>
      <c r="G282" s="12"/>
      <c r="H282" s="12"/>
      <c r="I282" s="12"/>
      <c r="J282" s="12"/>
      <c r="K282" s="12"/>
      <c r="L282" s="12"/>
      <c r="M282" s="12">
        <v>185</v>
      </c>
      <c r="N282" s="12">
        <v>42</v>
      </c>
      <c r="O282" s="15">
        <v>13</v>
      </c>
      <c r="P282" s="12">
        <v>75</v>
      </c>
      <c r="Q282" s="12">
        <v>37</v>
      </c>
      <c r="R282" s="12">
        <v>43</v>
      </c>
      <c r="S282" s="27">
        <v>530000</v>
      </c>
      <c r="T282" s="12">
        <v>130000</v>
      </c>
      <c r="U282" s="15">
        <v>3.1</v>
      </c>
      <c r="V282" s="12">
        <v>540</v>
      </c>
      <c r="W282" s="12">
        <v>100</v>
      </c>
      <c r="X282" s="49">
        <v>0.11</v>
      </c>
      <c r="Y282" s="12">
        <v>11300</v>
      </c>
      <c r="Z282" s="12">
        <v>1300</v>
      </c>
      <c r="AA282" s="15">
        <v>0.4</v>
      </c>
      <c r="AH282" s="41"/>
      <c r="AI282" s="41"/>
      <c r="AJ282" s="41"/>
    </row>
    <row r="283" spans="1:36" s="19" customFormat="1" x14ac:dyDescent="0.25">
      <c r="A283" s="10" t="s">
        <v>187</v>
      </c>
      <c r="B283" s="6">
        <v>6</v>
      </c>
      <c r="C283" s="12"/>
      <c r="D283" s="6" t="s">
        <v>185</v>
      </c>
      <c r="E283" s="12"/>
      <c r="F283" s="12"/>
      <c r="G283" s="12"/>
      <c r="H283" s="12"/>
      <c r="I283" s="12"/>
      <c r="J283" s="12"/>
      <c r="K283" s="12"/>
      <c r="L283" s="12"/>
      <c r="M283" s="12">
        <v>216</v>
      </c>
      <c r="N283" s="12">
        <v>62</v>
      </c>
      <c r="O283" s="15">
        <v>17</v>
      </c>
      <c r="P283" s="12">
        <v>75</v>
      </c>
      <c r="Q283" s="12">
        <v>46</v>
      </c>
      <c r="R283" s="12">
        <v>55</v>
      </c>
      <c r="S283" s="27">
        <v>550000</v>
      </c>
      <c r="T283" s="12">
        <v>160000</v>
      </c>
      <c r="U283" s="15">
        <v>2.8</v>
      </c>
      <c r="V283" s="12">
        <v>1050</v>
      </c>
      <c r="W283" s="12">
        <v>200</v>
      </c>
      <c r="X283" s="49">
        <v>5.7000000000000002E-2</v>
      </c>
      <c r="Y283" s="12">
        <v>11800</v>
      </c>
      <c r="Z283" s="12">
        <v>1300</v>
      </c>
      <c r="AA283" s="15">
        <v>0.59</v>
      </c>
      <c r="AH283" s="41"/>
      <c r="AI283" s="41"/>
      <c r="AJ283" s="41"/>
    </row>
    <row r="284" spans="1:36" x14ac:dyDescent="0.25">
      <c r="A284" s="11" t="s">
        <v>188</v>
      </c>
      <c r="B284" s="8">
        <v>1</v>
      </c>
      <c r="C284" s="2"/>
      <c r="D284" s="8" t="s">
        <v>189</v>
      </c>
      <c r="E284" s="2"/>
      <c r="F284" s="2"/>
      <c r="G284" s="2"/>
      <c r="H284" s="2"/>
      <c r="I284" s="2"/>
      <c r="J284" s="2"/>
      <c r="K284" s="2"/>
      <c r="L284" s="2"/>
      <c r="M284" s="2">
        <v>141</v>
      </c>
      <c r="N284" s="2">
        <v>11</v>
      </c>
      <c r="O284" s="18">
        <v>3.5</v>
      </c>
      <c r="P284" s="2">
        <v>237</v>
      </c>
      <c r="Q284" s="2">
        <v>18</v>
      </c>
      <c r="R284" s="2">
        <v>20</v>
      </c>
      <c r="S284" s="31">
        <v>461000</v>
      </c>
      <c r="T284" s="2">
        <v>28000</v>
      </c>
      <c r="U284" s="18">
        <v>0.37</v>
      </c>
      <c r="V284" s="2">
        <v>606</v>
      </c>
      <c r="W284" s="2">
        <v>33</v>
      </c>
      <c r="X284" s="48">
        <v>0.03</v>
      </c>
      <c r="Y284" s="2">
        <v>9580</v>
      </c>
      <c r="Z284" s="2">
        <v>480</v>
      </c>
      <c r="AA284" s="17">
        <v>0.13</v>
      </c>
    </row>
    <row r="285" spans="1:36" x14ac:dyDescent="0.25">
      <c r="A285" s="11" t="s">
        <v>188</v>
      </c>
      <c r="B285" s="8">
        <v>2</v>
      </c>
      <c r="C285" s="2"/>
      <c r="D285" s="8" t="s">
        <v>189</v>
      </c>
      <c r="E285" s="2"/>
      <c r="F285" s="2"/>
      <c r="G285" s="2"/>
      <c r="H285" s="2"/>
      <c r="I285" s="2"/>
      <c r="J285" s="2"/>
      <c r="K285" s="2"/>
      <c r="L285" s="2"/>
      <c r="M285" s="2">
        <v>161</v>
      </c>
      <c r="N285" s="2">
        <v>20</v>
      </c>
      <c r="O285" s="18">
        <v>3.6</v>
      </c>
      <c r="P285" s="2">
        <v>195</v>
      </c>
      <c r="Q285" s="2">
        <v>18</v>
      </c>
      <c r="R285" s="2">
        <v>19</v>
      </c>
      <c r="S285" s="31">
        <v>499000</v>
      </c>
      <c r="T285" s="2">
        <v>76000</v>
      </c>
      <c r="U285" s="18">
        <v>0.44</v>
      </c>
      <c r="V285" s="2">
        <v>597</v>
      </c>
      <c r="W285" s="2">
        <v>71</v>
      </c>
      <c r="X285" s="48">
        <v>2.4E-2</v>
      </c>
      <c r="Y285" s="2">
        <v>10780</v>
      </c>
      <c r="Z285" s="2">
        <v>950</v>
      </c>
      <c r="AA285" s="17">
        <v>0.12</v>
      </c>
    </row>
    <row r="286" spans="1:36" x14ac:dyDescent="0.25">
      <c r="A286" s="11" t="s">
        <v>188</v>
      </c>
      <c r="B286" s="8">
        <v>3</v>
      </c>
      <c r="C286" s="2"/>
      <c r="D286" s="8" t="s">
        <v>189</v>
      </c>
      <c r="E286" s="2"/>
      <c r="F286" s="2"/>
      <c r="G286" s="2"/>
      <c r="H286" s="2"/>
      <c r="I286" s="2"/>
      <c r="J286" s="2"/>
      <c r="K286" s="2"/>
      <c r="L286" s="2"/>
      <c r="M286" s="2">
        <v>166</v>
      </c>
      <c r="N286" s="2">
        <v>20</v>
      </c>
      <c r="O286" s="18">
        <v>3.4</v>
      </c>
      <c r="P286" s="2">
        <v>172</v>
      </c>
      <c r="Q286" s="2">
        <v>17</v>
      </c>
      <c r="R286" s="2">
        <v>24</v>
      </c>
      <c r="S286" s="31">
        <v>545000</v>
      </c>
      <c r="T286" s="2">
        <v>66000</v>
      </c>
      <c r="U286" s="18">
        <v>0.54</v>
      </c>
      <c r="V286" s="2">
        <v>1101</v>
      </c>
      <c r="W286" s="2">
        <v>81</v>
      </c>
      <c r="X286" s="48">
        <v>3.1E-2</v>
      </c>
      <c r="Y286" s="2">
        <v>11020</v>
      </c>
      <c r="Z286" s="2">
        <v>860</v>
      </c>
      <c r="AA286" s="17">
        <v>0.24</v>
      </c>
    </row>
    <row r="287" spans="1:36" x14ac:dyDescent="0.25">
      <c r="A287" s="11" t="s">
        <v>188</v>
      </c>
      <c r="B287" s="8">
        <v>4</v>
      </c>
      <c r="C287" s="2"/>
      <c r="D287" s="8" t="s">
        <v>189</v>
      </c>
      <c r="E287" s="2"/>
      <c r="F287" s="2"/>
      <c r="G287" s="2"/>
      <c r="H287" s="2"/>
      <c r="I287" s="2"/>
      <c r="J287" s="2"/>
      <c r="K287" s="2"/>
      <c r="L287" s="2"/>
      <c r="M287" s="2">
        <v>168</v>
      </c>
      <c r="N287" s="2">
        <v>22</v>
      </c>
      <c r="O287" s="18">
        <v>3.5</v>
      </c>
      <c r="P287" s="2">
        <v>204</v>
      </c>
      <c r="Q287" s="2">
        <v>21</v>
      </c>
      <c r="R287" s="2">
        <v>21</v>
      </c>
      <c r="S287" s="31">
        <v>526000</v>
      </c>
      <c r="T287" s="2">
        <v>62000</v>
      </c>
      <c r="U287" s="18">
        <v>0.55000000000000004</v>
      </c>
      <c r="V287" s="2">
        <v>852</v>
      </c>
      <c r="W287" s="2">
        <v>86</v>
      </c>
      <c r="X287" s="48">
        <v>3.5999999999999997E-2</v>
      </c>
      <c r="Y287" s="2">
        <v>11100</v>
      </c>
      <c r="Z287" s="2">
        <v>940</v>
      </c>
      <c r="AA287" s="17">
        <v>9.7000000000000003E-2</v>
      </c>
    </row>
    <row r="288" spans="1:36" x14ac:dyDescent="0.25">
      <c r="A288" s="11" t="s">
        <v>188</v>
      </c>
      <c r="B288" s="8">
        <v>5</v>
      </c>
      <c r="C288" s="2"/>
      <c r="D288" s="8" t="s">
        <v>189</v>
      </c>
      <c r="E288" s="2"/>
      <c r="F288" s="2"/>
      <c r="G288" s="2"/>
      <c r="H288" s="2"/>
      <c r="I288" s="2"/>
      <c r="J288" s="2"/>
      <c r="K288" s="2"/>
      <c r="L288" s="2"/>
      <c r="M288" s="2">
        <v>172</v>
      </c>
      <c r="N288" s="2">
        <v>21</v>
      </c>
      <c r="O288" s="18">
        <v>4.0999999999999996</v>
      </c>
      <c r="P288" s="2">
        <v>213</v>
      </c>
      <c r="Q288" s="2">
        <v>19</v>
      </c>
      <c r="R288" s="2">
        <v>19</v>
      </c>
      <c r="S288" s="31">
        <v>551000</v>
      </c>
      <c r="T288" s="2">
        <v>67000</v>
      </c>
      <c r="U288" s="18">
        <v>0.73</v>
      </c>
      <c r="V288" s="2">
        <v>803</v>
      </c>
      <c r="W288" s="2">
        <v>87</v>
      </c>
      <c r="X288" s="48">
        <v>2.5000000000000001E-2</v>
      </c>
      <c r="Y288" s="2">
        <v>11310</v>
      </c>
      <c r="Z288" s="2">
        <v>800</v>
      </c>
      <c r="AA288" s="17">
        <v>0.13</v>
      </c>
    </row>
    <row r="289" spans="1:36" s="19" customFormat="1" x14ac:dyDescent="0.25">
      <c r="A289" s="10" t="s">
        <v>48</v>
      </c>
      <c r="B289" s="6">
        <v>1</v>
      </c>
      <c r="C289" s="12"/>
      <c r="D289" s="6" t="s">
        <v>189</v>
      </c>
      <c r="E289" s="12"/>
      <c r="F289" s="12"/>
      <c r="G289" s="12"/>
      <c r="H289" s="12"/>
      <c r="I289" s="12"/>
      <c r="J289" s="12"/>
      <c r="K289" s="12"/>
      <c r="L289" s="12"/>
      <c r="M289" s="12">
        <v>460</v>
      </c>
      <c r="N289" s="12">
        <v>61</v>
      </c>
      <c r="O289" s="15">
        <v>5.3</v>
      </c>
      <c r="P289" s="12">
        <v>90</v>
      </c>
      <c r="Q289" s="12">
        <v>28</v>
      </c>
      <c r="R289" s="12">
        <v>31</v>
      </c>
      <c r="S289" s="27">
        <v>675000</v>
      </c>
      <c r="T289" s="12">
        <v>65000</v>
      </c>
      <c r="U289" s="15">
        <v>1.2</v>
      </c>
      <c r="V289" s="12">
        <v>634</v>
      </c>
      <c r="W289" s="12">
        <v>74</v>
      </c>
      <c r="X289" s="49">
        <v>0.04</v>
      </c>
      <c r="Y289" s="12">
        <v>13000</v>
      </c>
      <c r="Z289" s="12">
        <v>1700</v>
      </c>
      <c r="AA289" s="14">
        <v>0.28000000000000003</v>
      </c>
      <c r="AH289" s="41"/>
      <c r="AI289" s="41"/>
      <c r="AJ289" s="41"/>
    </row>
    <row r="290" spans="1:36" s="19" customFormat="1" x14ac:dyDescent="0.25">
      <c r="A290" s="10" t="s">
        <v>48</v>
      </c>
      <c r="B290" s="6">
        <v>2</v>
      </c>
      <c r="C290" s="12"/>
      <c r="D290" s="6" t="s">
        <v>189</v>
      </c>
      <c r="E290" s="12"/>
      <c r="F290" s="12"/>
      <c r="G290" s="12"/>
      <c r="H290" s="12"/>
      <c r="I290" s="12"/>
      <c r="J290" s="12"/>
      <c r="K290" s="12"/>
      <c r="L290" s="12"/>
      <c r="M290" s="12">
        <v>590</v>
      </c>
      <c r="N290" s="12">
        <v>110</v>
      </c>
      <c r="O290" s="15">
        <v>7.5</v>
      </c>
      <c r="P290" s="12">
        <v>75</v>
      </c>
      <c r="Q290" s="12">
        <v>43</v>
      </c>
      <c r="R290" s="12">
        <v>48</v>
      </c>
      <c r="S290" s="27">
        <v>720000</v>
      </c>
      <c r="T290" s="12">
        <v>190000</v>
      </c>
      <c r="U290" s="15">
        <v>1.3</v>
      </c>
      <c r="V290" s="12">
        <v>560</v>
      </c>
      <c r="W290" s="12">
        <v>170</v>
      </c>
      <c r="X290" s="49">
        <v>4.5999999999999999E-2</v>
      </c>
      <c r="Y290" s="12">
        <v>12000</v>
      </c>
      <c r="Z290" s="12">
        <v>2300</v>
      </c>
      <c r="AA290" s="14">
        <v>0.25</v>
      </c>
      <c r="AH290" s="41"/>
      <c r="AI290" s="41"/>
      <c r="AJ290" s="41"/>
    </row>
    <row r="291" spans="1:36" s="19" customFormat="1" x14ac:dyDescent="0.25">
      <c r="A291" s="10" t="s">
        <v>48</v>
      </c>
      <c r="B291" s="6">
        <v>3</v>
      </c>
      <c r="C291" s="12"/>
      <c r="D291" s="6" t="s">
        <v>189</v>
      </c>
      <c r="E291" s="12"/>
      <c r="F291" s="12"/>
      <c r="G291" s="12"/>
      <c r="H291" s="12"/>
      <c r="I291" s="12"/>
      <c r="J291" s="12"/>
      <c r="K291" s="12"/>
      <c r="L291" s="12"/>
      <c r="M291" s="12">
        <v>438</v>
      </c>
      <c r="N291" s="12">
        <v>42</v>
      </c>
      <c r="O291" s="15">
        <v>5.7</v>
      </c>
      <c r="P291" s="12">
        <v>62</v>
      </c>
      <c r="Q291" s="12">
        <v>27</v>
      </c>
      <c r="R291" s="12">
        <v>32</v>
      </c>
      <c r="S291" s="27">
        <v>582000</v>
      </c>
      <c r="T291" s="12">
        <v>52000</v>
      </c>
      <c r="U291" s="15">
        <v>0.78</v>
      </c>
      <c r="V291" s="12">
        <v>452</v>
      </c>
      <c r="W291" s="12">
        <v>45</v>
      </c>
      <c r="X291" s="49">
        <v>6.6000000000000003E-2</v>
      </c>
      <c r="Y291" s="12">
        <v>12290</v>
      </c>
      <c r="Z291" s="12">
        <v>840</v>
      </c>
      <c r="AA291" s="14">
        <v>0.3</v>
      </c>
      <c r="AH291" s="41"/>
      <c r="AI291" s="41"/>
      <c r="AJ291" s="41"/>
    </row>
    <row r="292" spans="1:36" s="19" customFormat="1" x14ac:dyDescent="0.25">
      <c r="A292" s="10" t="s">
        <v>48</v>
      </c>
      <c r="B292" s="6">
        <v>4</v>
      </c>
      <c r="C292" s="12"/>
      <c r="D292" s="6" t="s">
        <v>189</v>
      </c>
      <c r="E292" s="12"/>
      <c r="F292" s="12"/>
      <c r="G292" s="12"/>
      <c r="H292" s="12"/>
      <c r="I292" s="12"/>
      <c r="J292" s="12"/>
      <c r="K292" s="12"/>
      <c r="L292" s="12"/>
      <c r="M292" s="12">
        <v>380</v>
      </c>
      <c r="N292" s="12">
        <v>70</v>
      </c>
      <c r="O292" s="15">
        <v>5.3</v>
      </c>
      <c r="P292" s="12">
        <v>49</v>
      </c>
      <c r="Q292" s="12">
        <v>21</v>
      </c>
      <c r="R292" s="12">
        <v>28</v>
      </c>
      <c r="S292" s="27">
        <v>529000</v>
      </c>
      <c r="T292" s="12">
        <v>88000</v>
      </c>
      <c r="U292" s="15">
        <v>0.85</v>
      </c>
      <c r="V292" s="12">
        <v>443</v>
      </c>
      <c r="W292" s="12">
        <v>52</v>
      </c>
      <c r="X292" s="49">
        <v>4.9000000000000002E-2</v>
      </c>
      <c r="Y292" s="12">
        <v>12400</v>
      </c>
      <c r="Z292" s="12">
        <v>1300</v>
      </c>
      <c r="AA292" s="14">
        <v>0.26</v>
      </c>
      <c r="AH292" s="41"/>
      <c r="AI292" s="41"/>
      <c r="AJ292" s="41"/>
    </row>
    <row r="293" spans="1:36" s="19" customFormat="1" x14ac:dyDescent="0.25">
      <c r="A293" s="10" t="s">
        <v>48</v>
      </c>
      <c r="B293" s="6">
        <v>5</v>
      </c>
      <c r="C293" s="12"/>
      <c r="D293" s="6" t="s">
        <v>189</v>
      </c>
      <c r="E293" s="12"/>
      <c r="F293" s="12"/>
      <c r="G293" s="12"/>
      <c r="H293" s="12"/>
      <c r="I293" s="12"/>
      <c r="J293" s="12"/>
      <c r="K293" s="12"/>
      <c r="L293" s="12"/>
      <c r="M293" s="12">
        <v>400</v>
      </c>
      <c r="N293" s="12">
        <v>95</v>
      </c>
      <c r="O293" s="15">
        <v>7.3</v>
      </c>
      <c r="P293" s="12"/>
      <c r="Q293" s="12"/>
      <c r="R293" s="12"/>
      <c r="S293" s="27">
        <v>710000</v>
      </c>
      <c r="T293" s="12">
        <v>200000</v>
      </c>
      <c r="U293" s="15">
        <v>1.4</v>
      </c>
      <c r="V293" s="12">
        <v>683</v>
      </c>
      <c r="W293" s="12">
        <v>92</v>
      </c>
      <c r="X293" s="49">
        <v>3.1E-2</v>
      </c>
      <c r="Y293" s="12">
        <v>15200</v>
      </c>
      <c r="Z293" s="12">
        <v>2300</v>
      </c>
      <c r="AA293" s="14"/>
      <c r="AH293" s="41"/>
      <c r="AI293" s="41"/>
      <c r="AJ293" s="41"/>
    </row>
    <row r="294" spans="1:36" x14ac:dyDescent="0.25">
      <c r="A294" s="11" t="s">
        <v>190</v>
      </c>
      <c r="B294" s="8">
        <v>1</v>
      </c>
      <c r="C294" s="2"/>
      <c r="D294" s="8" t="s">
        <v>189</v>
      </c>
      <c r="E294" s="2"/>
      <c r="F294" s="2"/>
      <c r="G294" s="2"/>
      <c r="H294" s="2"/>
      <c r="I294" s="2"/>
      <c r="J294" s="2"/>
      <c r="K294" s="2"/>
      <c r="L294" s="2"/>
      <c r="M294" s="2">
        <v>205</v>
      </c>
      <c r="N294" s="2">
        <v>29</v>
      </c>
      <c r="O294" s="18">
        <v>7.4</v>
      </c>
      <c r="P294" s="2">
        <v>185</v>
      </c>
      <c r="Q294" s="2">
        <v>33</v>
      </c>
      <c r="R294" s="2">
        <v>44</v>
      </c>
      <c r="S294" s="31">
        <v>650000</v>
      </c>
      <c r="T294" s="2">
        <v>110000</v>
      </c>
      <c r="U294" s="18">
        <v>1.5</v>
      </c>
      <c r="V294" s="2">
        <v>1230</v>
      </c>
      <c r="W294" s="2">
        <v>130</v>
      </c>
      <c r="X294" s="48">
        <v>0.03</v>
      </c>
      <c r="Y294" s="2">
        <v>13100</v>
      </c>
      <c r="Z294" s="2">
        <v>1200</v>
      </c>
      <c r="AA294" s="17">
        <v>0.23</v>
      </c>
    </row>
    <row r="295" spans="1:36" x14ac:dyDescent="0.25">
      <c r="A295" s="11" t="s">
        <v>190</v>
      </c>
      <c r="B295" s="8">
        <v>2</v>
      </c>
      <c r="C295" s="2"/>
      <c r="D295" s="8" t="s">
        <v>189</v>
      </c>
      <c r="E295" s="2"/>
      <c r="F295" s="2"/>
      <c r="G295" s="2"/>
      <c r="H295" s="2"/>
      <c r="I295" s="2"/>
      <c r="J295" s="2"/>
      <c r="K295" s="2"/>
      <c r="L295" s="2"/>
      <c r="M295" s="2">
        <v>220</v>
      </c>
      <c r="N295" s="2">
        <v>51</v>
      </c>
      <c r="O295" s="18">
        <v>8.1999999999999993</v>
      </c>
      <c r="P295" s="2">
        <v>108</v>
      </c>
      <c r="Q295" s="2">
        <v>53</v>
      </c>
      <c r="R295" s="2">
        <v>51</v>
      </c>
      <c r="S295" s="31">
        <v>760000</v>
      </c>
      <c r="T295" s="2">
        <v>160000</v>
      </c>
      <c r="U295" s="18">
        <v>1.3</v>
      </c>
      <c r="V295" s="2">
        <v>1300</v>
      </c>
      <c r="W295" s="2">
        <v>250</v>
      </c>
      <c r="X295" s="48">
        <v>0.05</v>
      </c>
      <c r="Y295" s="2">
        <v>14100</v>
      </c>
      <c r="Z295" s="2">
        <v>2300</v>
      </c>
      <c r="AA295" s="17"/>
    </row>
    <row r="296" spans="1:36" x14ac:dyDescent="0.25">
      <c r="A296" s="11" t="s">
        <v>49</v>
      </c>
      <c r="B296" s="8">
        <v>3</v>
      </c>
      <c r="C296" s="2"/>
      <c r="D296" s="8" t="s">
        <v>189</v>
      </c>
      <c r="E296" s="2"/>
      <c r="F296" s="2"/>
      <c r="G296" s="2"/>
      <c r="H296" s="2"/>
      <c r="I296" s="2"/>
      <c r="J296" s="2"/>
      <c r="K296" s="2"/>
      <c r="L296" s="2"/>
      <c r="M296" s="2">
        <v>174</v>
      </c>
      <c r="N296" s="2">
        <v>22</v>
      </c>
      <c r="O296" s="18">
        <v>8.9</v>
      </c>
      <c r="P296" s="2">
        <v>202</v>
      </c>
      <c r="Q296" s="2">
        <v>55</v>
      </c>
      <c r="R296" s="2">
        <v>50</v>
      </c>
      <c r="S296" s="31">
        <v>680000</v>
      </c>
      <c r="T296" s="2">
        <v>110000</v>
      </c>
      <c r="U296" s="18">
        <v>1.5</v>
      </c>
      <c r="V296" s="2">
        <v>1200</v>
      </c>
      <c r="W296" s="2">
        <v>320</v>
      </c>
      <c r="X296" s="48">
        <v>8.6999999999999994E-2</v>
      </c>
      <c r="Y296" s="2">
        <v>13100</v>
      </c>
      <c r="Z296" s="2">
        <v>2200</v>
      </c>
      <c r="AA296" s="17">
        <v>0.41</v>
      </c>
    </row>
    <row r="297" spans="1:36" x14ac:dyDescent="0.25">
      <c r="A297" s="11" t="s">
        <v>49</v>
      </c>
      <c r="B297" s="8">
        <v>4</v>
      </c>
      <c r="C297" s="2"/>
      <c r="D297" s="8" t="s">
        <v>189</v>
      </c>
      <c r="E297" s="2"/>
      <c r="F297" s="2"/>
      <c r="G297" s="2"/>
      <c r="H297" s="2"/>
      <c r="I297" s="2"/>
      <c r="J297" s="2"/>
      <c r="K297" s="2"/>
      <c r="L297" s="2"/>
      <c r="M297" s="2">
        <v>420</v>
      </c>
      <c r="N297" s="2">
        <v>76</v>
      </c>
      <c r="O297" s="18">
        <v>5.4</v>
      </c>
      <c r="P297" s="2">
        <v>223</v>
      </c>
      <c r="Q297" s="2">
        <v>53</v>
      </c>
      <c r="R297" s="2">
        <v>28</v>
      </c>
      <c r="S297" s="31">
        <v>541000</v>
      </c>
      <c r="T297" s="2">
        <v>67000</v>
      </c>
      <c r="U297" s="18">
        <v>0.64</v>
      </c>
      <c r="V297" s="2">
        <v>1250</v>
      </c>
      <c r="W297" s="2">
        <v>130</v>
      </c>
      <c r="X297" s="48">
        <v>3.3000000000000002E-2</v>
      </c>
      <c r="Y297" s="2">
        <v>12500</v>
      </c>
      <c r="Z297" s="2">
        <v>1300</v>
      </c>
      <c r="AA297" s="17"/>
    </row>
    <row r="298" spans="1:36" x14ac:dyDescent="0.25">
      <c r="A298" s="11" t="s">
        <v>49</v>
      </c>
      <c r="B298" s="8">
        <v>5</v>
      </c>
      <c r="C298" s="2"/>
      <c r="D298" s="8" t="s">
        <v>189</v>
      </c>
      <c r="E298" s="2"/>
      <c r="F298" s="2"/>
      <c r="G298" s="2"/>
      <c r="H298" s="2"/>
      <c r="I298" s="2"/>
      <c r="J298" s="2"/>
      <c r="K298" s="2"/>
      <c r="L298" s="2"/>
      <c r="M298" s="2">
        <v>164</v>
      </c>
      <c r="N298" s="2">
        <v>20</v>
      </c>
      <c r="O298" s="18">
        <v>7.2</v>
      </c>
      <c r="P298" s="2">
        <v>149</v>
      </c>
      <c r="Q298" s="2">
        <v>32</v>
      </c>
      <c r="R298" s="2">
        <v>39</v>
      </c>
      <c r="S298" s="31">
        <v>610000</v>
      </c>
      <c r="T298" s="2">
        <v>100000</v>
      </c>
      <c r="U298" s="18">
        <v>1.1000000000000001</v>
      </c>
      <c r="V298" s="2">
        <v>980</v>
      </c>
      <c r="W298" s="2">
        <v>120</v>
      </c>
      <c r="X298" s="48">
        <v>8.8999999999999996E-2</v>
      </c>
      <c r="Y298" s="2">
        <v>12100</v>
      </c>
      <c r="Z298" s="2">
        <v>1400</v>
      </c>
      <c r="AA298" s="17">
        <v>0.34</v>
      </c>
    </row>
    <row r="299" spans="1:36" x14ac:dyDescent="0.25">
      <c r="A299" s="11" t="s">
        <v>49</v>
      </c>
      <c r="B299" s="8">
        <v>6</v>
      </c>
      <c r="C299" s="2"/>
      <c r="D299" s="8" t="s">
        <v>189</v>
      </c>
      <c r="E299" s="2"/>
      <c r="F299" s="2"/>
      <c r="G299" s="2"/>
      <c r="H299" s="2"/>
      <c r="I299" s="2"/>
      <c r="J299" s="2"/>
      <c r="K299" s="2"/>
      <c r="L299" s="2"/>
      <c r="M299" s="2">
        <v>145</v>
      </c>
      <c r="N299" s="2">
        <v>21</v>
      </c>
      <c r="O299" s="18">
        <v>6.2</v>
      </c>
      <c r="P299" s="2">
        <v>148</v>
      </c>
      <c r="Q299" s="2">
        <v>26</v>
      </c>
      <c r="R299" s="2">
        <v>37</v>
      </c>
      <c r="S299" s="31">
        <v>597000</v>
      </c>
      <c r="T299" s="2">
        <v>78000</v>
      </c>
      <c r="U299" s="18">
        <v>0.94</v>
      </c>
      <c r="V299" s="2">
        <v>1070</v>
      </c>
      <c r="W299" s="2">
        <v>130</v>
      </c>
      <c r="X299" s="48">
        <v>5.0999999999999997E-2</v>
      </c>
      <c r="Y299" s="2">
        <v>12800</v>
      </c>
      <c r="Z299" s="2">
        <v>1300</v>
      </c>
      <c r="AA299" s="17">
        <v>0.22</v>
      </c>
    </row>
  </sheetData>
  <phoneticPr fontId="8" type="noConversion"/>
  <conditionalFormatting sqref="M1:M299">
    <cfRule type="expression" dxfId="0" priority="4">
      <formula>"IF$AC:$AC == TRUE"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Glasses_Filt</vt:lpstr>
      <vt:lpstr>Zircons_Filt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Boschetty</dc:creator>
  <cp:lastModifiedBy>Felix Boschetty</cp:lastModifiedBy>
  <dcterms:created xsi:type="dcterms:W3CDTF">2025-04-16T07:30:48Z</dcterms:created>
  <dcterms:modified xsi:type="dcterms:W3CDTF">2026-06-03T10:32:22Z</dcterms:modified>
</cp:coreProperties>
</file>