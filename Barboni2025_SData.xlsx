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boschetty/Documents/Spyder/Barboni2025/"/>
    </mc:Choice>
  </mc:AlternateContent>
  <xr:revisionPtr revIDLastSave="0" documentId="13_ncr:1_{2A48BFD8-2A8D-2345-92FC-70F9F64BCD01}" xr6:coauthVersionLast="47" xr6:coauthVersionMax="47" xr10:uidLastSave="{00000000-0000-0000-0000-000000000000}"/>
  <bookViews>
    <workbookView xWindow="0" yWindow="500" windowWidth="14400" windowHeight="17500" firstSheet="2" activeTab="7" xr2:uid="{A274266E-FFE7-4646-B081-ECFC8912DD2D}"/>
  </bookViews>
  <sheets>
    <sheet name="Data S1" sheetId="1" r:id="rId1"/>
    <sheet name="Data S2" sheetId="2" r:id="rId2"/>
    <sheet name="Data S3" sheetId="3" r:id="rId3"/>
    <sheet name="Data S4" sheetId="4" r:id="rId4"/>
    <sheet name="Data S5" sheetId="5" r:id="rId5"/>
    <sheet name="Data S6" sheetId="6" r:id="rId6"/>
    <sheet name="Data S7" sheetId="12" r:id="rId7"/>
    <sheet name="Data S8" sheetId="8" r:id="rId8"/>
  </sheets>
  <calcPr calcId="191029" iterate="1" iterateCount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2" i="12" l="1"/>
  <c r="AH42" i="12" s="1"/>
  <c r="D42" i="12"/>
  <c r="AH41" i="12"/>
  <c r="AG41" i="12"/>
  <c r="D41" i="12"/>
  <c r="AG40" i="12"/>
  <c r="AH40" i="12" s="1"/>
  <c r="D40" i="12"/>
  <c r="AG39" i="12"/>
  <c r="AH39" i="12" s="1"/>
  <c r="D39" i="12"/>
  <c r="AG38" i="12"/>
  <c r="AH38" i="12" s="1"/>
  <c r="D38" i="12"/>
  <c r="AH37" i="12"/>
  <c r="AG37" i="12"/>
  <c r="D37" i="12"/>
  <c r="AG36" i="12"/>
  <c r="AH36" i="12" s="1"/>
  <c r="D36" i="12"/>
  <c r="AG35" i="12"/>
  <c r="AH35" i="12" s="1"/>
  <c r="D35" i="12"/>
  <c r="AH34" i="12"/>
  <c r="AG34" i="12"/>
  <c r="D34" i="12"/>
  <c r="AH33" i="12"/>
  <c r="AG33" i="12"/>
  <c r="D33" i="12"/>
  <c r="AG32" i="12"/>
  <c r="AH32" i="12" s="1"/>
  <c r="D32" i="12"/>
  <c r="AG31" i="12"/>
  <c r="AH31" i="12" s="1"/>
  <c r="D31" i="12"/>
  <c r="AG30" i="12"/>
  <c r="AH30" i="12" s="1"/>
  <c r="D30" i="12"/>
  <c r="AH29" i="12"/>
  <c r="AG29" i="12"/>
  <c r="D29" i="12"/>
  <c r="AG28" i="12"/>
  <c r="AH28" i="12" s="1"/>
  <c r="D28" i="12"/>
  <c r="AG27" i="12"/>
  <c r="AH27" i="12" s="1"/>
  <c r="D27" i="12"/>
  <c r="AH26" i="12"/>
  <c r="AG26" i="12"/>
  <c r="D26" i="12"/>
  <c r="AH25" i="12"/>
  <c r="AG25" i="12"/>
  <c r="D25" i="12"/>
  <c r="AG24" i="12"/>
  <c r="AH24" i="12" s="1"/>
  <c r="D24" i="12"/>
  <c r="AG23" i="12"/>
  <c r="AH23" i="12" s="1"/>
  <c r="D23" i="12"/>
  <c r="AG22" i="12"/>
  <c r="AH22" i="12" s="1"/>
  <c r="D22" i="12"/>
  <c r="AH21" i="12"/>
  <c r="AG21" i="12"/>
  <c r="AG20" i="12"/>
  <c r="AH20" i="12" s="1"/>
  <c r="D20" i="12"/>
  <c r="AG19" i="12"/>
  <c r="AH19" i="12" s="1"/>
  <c r="D19" i="12"/>
  <c r="AH18" i="12"/>
  <c r="AG18" i="12"/>
  <c r="D18" i="12"/>
  <c r="AG17" i="12"/>
  <c r="AH17" i="12" s="1"/>
  <c r="D17" i="12"/>
  <c r="AG16" i="12"/>
  <c r="AH16" i="12" s="1"/>
  <c r="D16" i="12"/>
  <c r="AH15" i="12"/>
  <c r="AG15" i="12"/>
  <c r="D15" i="12"/>
  <c r="AH14" i="12"/>
  <c r="AG14" i="12"/>
  <c r="D14" i="12"/>
  <c r="AG13" i="12"/>
  <c r="AH13" i="12" s="1"/>
  <c r="D13" i="12"/>
  <c r="AG12" i="12"/>
  <c r="AH12" i="12" s="1"/>
  <c r="D12" i="12"/>
  <c r="AG11" i="12"/>
  <c r="AH11" i="12" s="1"/>
  <c r="D11" i="12"/>
  <c r="AH10" i="12"/>
  <c r="AG10" i="12"/>
  <c r="D10" i="12"/>
  <c r="AG9" i="12"/>
  <c r="AH9" i="12" s="1"/>
  <c r="D9" i="12"/>
  <c r="AG8" i="12"/>
  <c r="AH8" i="12" s="1"/>
  <c r="D8" i="12"/>
  <c r="AH7" i="12"/>
  <c r="AG7" i="12"/>
  <c r="D7" i="12"/>
  <c r="AH6" i="12"/>
  <c r="AG6" i="12"/>
  <c r="D6" i="12"/>
  <c r="AG5" i="12"/>
  <c r="AH5" i="12" s="1"/>
  <c r="D5" i="12"/>
  <c r="AG4" i="12"/>
  <c r="AH4" i="12" s="1"/>
  <c r="D4" i="12"/>
  <c r="AG3" i="12"/>
  <c r="AH3" i="12" s="1"/>
  <c r="D3" i="12"/>
  <c r="F6" i="8" l="1"/>
  <c r="E6" i="8"/>
  <c r="C6" i="8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3" i="4"/>
  <c r="E7" i="8" l="1"/>
  <c r="F7" i="8"/>
  <c r="E8" i="8"/>
  <c r="F8" i="8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E24" i="8"/>
  <c r="F24" i="8"/>
  <c r="E25" i="8"/>
  <c r="F25" i="8"/>
  <c r="E26" i="8"/>
  <c r="F26" i="8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42" i="8"/>
  <c r="F42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AG54" i="2" l="1"/>
  <c r="AG50" i="2"/>
  <c r="AG49" i="2"/>
  <c r="AG46" i="2"/>
  <c r="AG43" i="2"/>
  <c r="AG38" i="2"/>
  <c r="AG39" i="2"/>
  <c r="AG40" i="2"/>
  <c r="AG37" i="2"/>
  <c r="AG36" i="2"/>
  <c r="AG28" i="2"/>
  <c r="AG29" i="2"/>
  <c r="AG30" i="2"/>
  <c r="AG27" i="2"/>
  <c r="AG26" i="2"/>
  <c r="AG25" i="2"/>
  <c r="AF21" i="2"/>
  <c r="AG21" i="2" s="1"/>
  <c r="AG11" i="2"/>
  <c r="AG12" i="2"/>
  <c r="AG13" i="2"/>
  <c r="AG14" i="2"/>
  <c r="AG15" i="2"/>
  <c r="AG16" i="2"/>
  <c r="AG17" i="2"/>
  <c r="AG18" i="2"/>
  <c r="AG19" i="2"/>
  <c r="AG20" i="2"/>
  <c r="AG22" i="2"/>
  <c r="AG23" i="2"/>
  <c r="AG24" i="2"/>
  <c r="AG10" i="2"/>
  <c r="AG9" i="2"/>
  <c r="AG5" i="2"/>
  <c r="AF7" i="2"/>
  <c r="AG7" i="2" s="1"/>
  <c r="AF8" i="2"/>
  <c r="AG8" i="2" s="1"/>
  <c r="AF6" i="2"/>
  <c r="AG6" i="2" s="1"/>
</calcChain>
</file>

<file path=xl/sharedStrings.xml><?xml version="1.0" encoding="utf-8"?>
<sst xmlns="http://schemas.openxmlformats.org/spreadsheetml/2006/main" count="908" uniqueCount="269">
  <si>
    <t>Min</t>
  </si>
  <si>
    <t>Max</t>
  </si>
  <si>
    <t>spot</t>
  </si>
  <si>
    <t># Al glass</t>
  </si>
  <si>
    <t>inclusion</t>
  </si>
  <si>
    <t>Glass</t>
  </si>
  <si>
    <t>distal</t>
  </si>
  <si>
    <t>Sample</t>
  </si>
  <si>
    <t>Zircon #</t>
  </si>
  <si>
    <t>Nickname</t>
  </si>
  <si>
    <t>Context</t>
  </si>
  <si>
    <t>Age (Ma)</t>
  </si>
  <si>
    <t># Age</t>
  </si>
  <si>
    <t>#Al-in-zircon</t>
  </si>
  <si>
    <t>touching</t>
  </si>
  <si>
    <t>12013,7</t>
  </si>
  <si>
    <t>z20</t>
  </si>
  <si>
    <t>Mark IV</t>
  </si>
  <si>
    <t>Faulted Barrel</t>
  </si>
  <si>
    <t>z34</t>
  </si>
  <si>
    <t>Breccia Matrix</t>
  </si>
  <si>
    <t>14303,49</t>
  </si>
  <si>
    <t>z17</t>
  </si>
  <si>
    <t>z16</t>
  </si>
  <si>
    <t>z18</t>
  </si>
  <si>
    <t>Climber</t>
  </si>
  <si>
    <t>Behemoth</t>
  </si>
  <si>
    <t>Pick</t>
  </si>
  <si>
    <t>Felsic Clast</t>
  </si>
  <si>
    <t>73217,15</t>
  </si>
  <si>
    <t>z9</t>
  </si>
  <si>
    <t>z14</t>
  </si>
  <si>
    <t>Davy Crockett</t>
  </si>
  <si>
    <t>Iberia</t>
  </si>
  <si>
    <t>73217,52</t>
  </si>
  <si>
    <t>Crumble Cake</t>
  </si>
  <si>
    <t>Mantis</t>
  </si>
  <si>
    <t>73217,59</t>
  </si>
  <si>
    <t>z1</t>
  </si>
  <si>
    <t>Tiger</t>
  </si>
  <si>
    <t>73235,60</t>
  </si>
  <si>
    <t>z2</t>
  </si>
  <si>
    <t>z3</t>
  </si>
  <si>
    <t>z6</t>
  </si>
  <si>
    <t>Oldy</t>
  </si>
  <si>
    <t>Cracker</t>
  </si>
  <si>
    <t>Hehagon</t>
  </si>
  <si>
    <t>Yak</t>
  </si>
  <si>
    <t>U-Pb data</t>
  </si>
  <si>
    <t>Isotopic ratios</t>
  </si>
  <si>
    <t>± 1σ</t>
  </si>
  <si>
    <t>% disc.</t>
  </si>
  <si>
    <t>Ages</t>
  </si>
  <si>
    <r>
      <rPr>
        <b/>
        <vertAlign val="superscript"/>
        <sz val="11"/>
        <color theme="1"/>
        <rFont val="Times New Roman"/>
        <family val="1"/>
      </rPr>
      <t>206</t>
    </r>
    <r>
      <rPr>
        <b/>
        <sz val="11"/>
        <color theme="1"/>
        <rFont val="Times New Roman"/>
        <family val="1"/>
      </rPr>
      <t>Pb/</t>
    </r>
    <r>
      <rPr>
        <b/>
        <vertAlign val="superscript"/>
        <sz val="11"/>
        <color theme="1"/>
        <rFont val="Times New Roman"/>
        <family val="1"/>
      </rPr>
      <t>204</t>
    </r>
    <r>
      <rPr>
        <b/>
        <sz val="11"/>
        <color theme="1"/>
        <rFont val="Times New Roman"/>
        <family val="1"/>
      </rPr>
      <t>Pb</t>
    </r>
  </si>
  <si>
    <r>
      <rPr>
        <b/>
        <vertAlign val="superscript"/>
        <sz val="11"/>
        <color theme="1"/>
        <rFont val="Times New Roman"/>
        <family val="1"/>
      </rPr>
      <t>207</t>
    </r>
    <r>
      <rPr>
        <b/>
        <sz val="11"/>
        <color theme="1"/>
        <rFont val="Times New Roman"/>
        <family val="1"/>
      </rPr>
      <t>Pb/</t>
    </r>
    <r>
      <rPr>
        <b/>
        <vertAlign val="superscript"/>
        <sz val="11"/>
        <color theme="1"/>
        <rFont val="Times New Roman"/>
        <family val="1"/>
      </rPr>
      <t>206</t>
    </r>
    <r>
      <rPr>
        <b/>
        <sz val="11"/>
        <color theme="1"/>
        <rFont val="Times New Roman"/>
        <family val="1"/>
      </rPr>
      <t>Pb</t>
    </r>
  </si>
  <si>
    <r>
      <rPr>
        <b/>
        <vertAlign val="superscript"/>
        <sz val="11"/>
        <color theme="1"/>
        <rFont val="Times New Roman"/>
        <family val="1"/>
      </rPr>
      <t>207*</t>
    </r>
    <r>
      <rPr>
        <b/>
        <sz val="11"/>
        <color theme="1"/>
        <rFont val="Times New Roman"/>
        <family val="1"/>
      </rPr>
      <t>Pb/</t>
    </r>
    <r>
      <rPr>
        <b/>
        <vertAlign val="superscript"/>
        <sz val="11"/>
        <color theme="1"/>
        <rFont val="Times New Roman"/>
        <family val="1"/>
      </rPr>
      <t>206*</t>
    </r>
    <r>
      <rPr>
        <b/>
        <sz val="11"/>
        <color theme="1"/>
        <rFont val="Times New Roman"/>
        <family val="1"/>
      </rPr>
      <t>Pb</t>
    </r>
  </si>
  <si>
    <r>
      <t>207*</t>
    </r>
    <r>
      <rPr>
        <b/>
        <sz val="11"/>
        <color theme="1"/>
        <rFont val="Times New Roman"/>
        <family val="1"/>
      </rPr>
      <t>Pb/</t>
    </r>
    <r>
      <rPr>
        <b/>
        <vertAlign val="superscript"/>
        <sz val="11"/>
        <color theme="1"/>
        <rFont val="Times New Roman"/>
        <family val="1"/>
      </rPr>
      <t>235</t>
    </r>
    <r>
      <rPr>
        <b/>
        <sz val="11"/>
        <color theme="1"/>
        <rFont val="Times New Roman"/>
        <family val="1"/>
      </rPr>
      <t>U</t>
    </r>
  </si>
  <si>
    <r>
      <t>206*</t>
    </r>
    <r>
      <rPr>
        <b/>
        <sz val="11"/>
        <color theme="1"/>
        <rFont val="Times New Roman"/>
        <family val="1"/>
      </rPr>
      <t>Pb/</t>
    </r>
    <r>
      <rPr>
        <b/>
        <vertAlign val="superscript"/>
        <sz val="11"/>
        <color theme="1"/>
        <rFont val="Times New Roman"/>
        <family val="1"/>
      </rPr>
      <t>238</t>
    </r>
    <r>
      <rPr>
        <b/>
        <sz val="11"/>
        <color theme="1"/>
        <rFont val="Times New Roman"/>
        <family val="1"/>
      </rPr>
      <t>U</t>
    </r>
  </si>
  <si>
    <r>
      <t>207</t>
    </r>
    <r>
      <rPr>
        <b/>
        <sz val="11"/>
        <color theme="1"/>
        <rFont val="Times New Roman"/>
        <family val="1"/>
      </rPr>
      <t>Pb/</t>
    </r>
    <r>
      <rPr>
        <b/>
        <vertAlign val="superscript"/>
        <sz val="11"/>
        <color theme="1"/>
        <rFont val="Times New Roman"/>
        <family val="1"/>
      </rPr>
      <t>206</t>
    </r>
    <r>
      <rPr>
        <b/>
        <sz val="11"/>
        <color theme="1"/>
        <rFont val="Times New Roman"/>
        <family val="1"/>
      </rPr>
      <t>Pb Age (Ma)</t>
    </r>
  </si>
  <si>
    <r>
      <t>206</t>
    </r>
    <r>
      <rPr>
        <b/>
        <sz val="11"/>
        <color theme="1"/>
        <rFont val="Times New Roman"/>
        <family val="1"/>
      </rPr>
      <t>Pb/</t>
    </r>
    <r>
      <rPr>
        <b/>
        <vertAlign val="superscript"/>
        <sz val="11"/>
        <color theme="1"/>
        <rFont val="Times New Roman"/>
        <family val="1"/>
      </rPr>
      <t>238</t>
    </r>
    <r>
      <rPr>
        <b/>
        <sz val="11"/>
        <color theme="1"/>
        <rFont val="Times New Roman"/>
        <family val="1"/>
      </rPr>
      <t>U Age (Ma)</t>
    </r>
  </si>
  <si>
    <r>
      <t>207</t>
    </r>
    <r>
      <rPr>
        <b/>
        <sz val="11"/>
        <color theme="1"/>
        <rFont val="Times New Roman"/>
        <family val="1"/>
      </rPr>
      <t>Pb/</t>
    </r>
    <r>
      <rPr>
        <b/>
        <vertAlign val="superscript"/>
        <sz val="11"/>
        <color theme="1"/>
        <rFont val="Times New Roman"/>
        <family val="1"/>
      </rPr>
      <t>235</t>
    </r>
    <r>
      <rPr>
        <b/>
        <sz val="11"/>
        <color theme="1"/>
        <rFont val="Times New Roman"/>
        <family val="1"/>
      </rPr>
      <t>U Age (Ma)</t>
    </r>
  </si>
  <si>
    <r>
      <t xml:space="preserve">% </t>
    </r>
    <r>
      <rPr>
        <b/>
        <vertAlign val="superscript"/>
        <sz val="11"/>
        <color theme="1"/>
        <rFont val="Times New Roman"/>
        <family val="1"/>
      </rPr>
      <t>206</t>
    </r>
    <r>
      <rPr>
        <b/>
        <sz val="11"/>
        <color theme="1"/>
        <rFont val="Times New Roman"/>
        <family val="1"/>
      </rPr>
      <t>Pb Radiogenic</t>
    </r>
  </si>
  <si>
    <t>Al-in-zircon</t>
  </si>
  <si>
    <t>Hexagon</t>
  </si>
  <si>
    <r>
      <t>ALI</t>
    </r>
    <r>
      <rPr>
        <b/>
        <vertAlign val="subscript"/>
        <sz val="12"/>
        <color theme="1"/>
        <rFont val="Times New Roman"/>
        <family val="1"/>
      </rPr>
      <t>zpm</t>
    </r>
  </si>
  <si>
    <t>Al</t>
  </si>
  <si>
    <t>ppm</t>
  </si>
  <si>
    <t>Trace Elements</t>
  </si>
  <si>
    <t>Zircon</t>
  </si>
  <si>
    <t>Glass Spot #</t>
  </si>
  <si>
    <t>Behemoth (z7)</t>
  </si>
  <si>
    <t>Average 2,20</t>
  </si>
  <si>
    <t>Average of 10,11, 12</t>
  </si>
  <si>
    <t>Average of 10,11</t>
  </si>
  <si>
    <t>Pick (z18)</t>
  </si>
  <si>
    <t>Climber (z16)</t>
  </si>
  <si>
    <t>Mantis (z18)</t>
  </si>
  <si>
    <t>Davy Crockett (z19)</t>
  </si>
  <si>
    <t>Crumble Cake (z16)</t>
  </si>
  <si>
    <t>Iberia (z14)</t>
  </si>
  <si>
    <t>Cracker (z9)</t>
  </si>
  <si>
    <t>Average 2,19,20</t>
  </si>
  <si>
    <t>Al-in-zircon Spot #</t>
  </si>
  <si>
    <t>Al-in-zircon ppm</t>
  </si>
  <si>
    <t>Th initial</t>
  </si>
  <si>
    <t>U initial</t>
  </si>
  <si>
    <t>Th/U initial</t>
  </si>
  <si>
    <t>P</t>
  </si>
  <si>
    <t>Ti</t>
  </si>
  <si>
    <t>Fe</t>
  </si>
  <si>
    <t>Hf</t>
  </si>
  <si>
    <t>Y</t>
  </si>
  <si>
    <t>--</t>
  </si>
  <si>
    <t>73235,59</t>
  </si>
  <si>
    <t>FeO</t>
  </si>
  <si>
    <t>MnO</t>
  </si>
  <si>
    <t>MgO</t>
  </si>
  <si>
    <t>CaO</t>
  </si>
  <si>
    <t>TOTAL</t>
  </si>
  <si>
    <t>Glass #</t>
  </si>
  <si>
    <r>
      <t>SiO</t>
    </r>
    <r>
      <rPr>
        <b/>
        <vertAlign val="subscript"/>
        <sz val="12"/>
        <color theme="1"/>
        <rFont val="Times New Roman"/>
        <family val="1"/>
      </rPr>
      <t>2</t>
    </r>
  </si>
  <si>
    <r>
      <t>TiO</t>
    </r>
    <r>
      <rPr>
        <b/>
        <vertAlign val="subscript"/>
        <sz val="12"/>
        <color theme="1"/>
        <rFont val="Times New Roman"/>
        <family val="1"/>
      </rPr>
      <t>2</t>
    </r>
  </si>
  <si>
    <r>
      <t>Al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</t>
    </r>
    <r>
      <rPr>
        <b/>
        <vertAlign val="subscript"/>
        <sz val="12"/>
        <color theme="1"/>
        <rFont val="Times New Roman"/>
        <family val="1"/>
      </rPr>
      <t>3</t>
    </r>
  </si>
  <si>
    <r>
      <t>Cr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</t>
    </r>
    <r>
      <rPr>
        <b/>
        <vertAlign val="subscript"/>
        <sz val="12"/>
        <color theme="1"/>
        <rFont val="Times New Roman"/>
        <family val="1"/>
      </rPr>
      <t>3</t>
    </r>
  </si>
  <si>
    <r>
      <t>Na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</t>
    </r>
  </si>
  <si>
    <r>
      <t>K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</t>
    </r>
  </si>
  <si>
    <t>wt%</t>
  </si>
  <si>
    <t>&lt;0.025</t>
  </si>
  <si>
    <t>&lt;0.018</t>
  </si>
  <si>
    <t>&lt;0.055</t>
  </si>
  <si>
    <t>location</t>
  </si>
  <si>
    <t>G9</t>
  </si>
  <si>
    <t>G16</t>
  </si>
  <si>
    <t>G19</t>
  </si>
  <si>
    <t>G22</t>
  </si>
  <si>
    <t>G29</t>
  </si>
  <si>
    <t>G30</t>
  </si>
  <si>
    <t>G31</t>
  </si>
  <si>
    <t>G32</t>
  </si>
  <si>
    <t>G33</t>
  </si>
  <si>
    <t>G35</t>
  </si>
  <si>
    <t>G8</t>
  </si>
  <si>
    <t>G1</t>
  </si>
  <si>
    <t>G2</t>
  </si>
  <si>
    <t>G4</t>
  </si>
  <si>
    <t>G15</t>
  </si>
  <si>
    <t>G11</t>
  </si>
  <si>
    <t>G18</t>
  </si>
  <si>
    <t>G27</t>
  </si>
  <si>
    <t>G28</t>
  </si>
  <si>
    <t>G3</t>
  </si>
  <si>
    <t>G12</t>
  </si>
  <si>
    <t>G13</t>
  </si>
  <si>
    <t>G14</t>
  </si>
  <si>
    <t>G17</t>
  </si>
  <si>
    <t>G5</t>
  </si>
  <si>
    <t>G6</t>
  </si>
  <si>
    <t>G7</t>
  </si>
  <si>
    <t>Vicinity</t>
  </si>
  <si>
    <t>Inclusion</t>
  </si>
  <si>
    <t>Touching</t>
  </si>
  <si>
    <t>Reference</t>
  </si>
  <si>
    <r>
      <rPr>
        <b/>
        <sz val="12"/>
        <color rgb="FF000000"/>
        <rFont val="Times New Roman"/>
        <family val="1"/>
      </rPr>
      <t>Al</t>
    </r>
    <r>
      <rPr>
        <b/>
        <vertAlign val="sub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O</t>
    </r>
    <r>
      <rPr>
        <b/>
        <vertAlign val="subscript"/>
        <sz val="12"/>
        <color rgb="FF000000"/>
        <rFont val="Times New Roman"/>
        <family val="1"/>
      </rPr>
      <t>3</t>
    </r>
  </si>
  <si>
    <r>
      <t>P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</t>
    </r>
    <r>
      <rPr>
        <b/>
        <vertAlign val="subscript"/>
        <sz val="12"/>
        <color theme="1"/>
        <rFont val="Times New Roman"/>
        <family val="1"/>
      </rPr>
      <t>5</t>
    </r>
  </si>
  <si>
    <t>14310,5</t>
  </si>
  <si>
    <t>a</t>
  </si>
  <si>
    <t>b</t>
  </si>
  <si>
    <t>a = 80% highland basalt + 20% 14310,5</t>
  </si>
  <si>
    <t>b = Average of monzonite clasts; slightly elevated silica contents may be be due to a small overlap onto granite clasts proximal to monzonite.</t>
  </si>
  <si>
    <t>Hess et al., (1989)</t>
  </si>
  <si>
    <t>Roedder and Weiblen (1972)</t>
  </si>
  <si>
    <t>Jolliff (1991)</t>
  </si>
  <si>
    <t>Rutherford et al., (1976)</t>
  </si>
  <si>
    <t>Lovering and Wark (1975)</t>
  </si>
  <si>
    <t>m</t>
  </si>
  <si>
    <t>err</t>
  </si>
  <si>
    <t>All T*</t>
  </si>
  <si>
    <t>All T</t>
  </si>
  <si>
    <t>Experiment ID</t>
  </si>
  <si>
    <t xml:space="preserve">10^4/T(K) </t>
  </si>
  <si>
    <t>capsule type</t>
  </si>
  <si>
    <t>SiO2 (glass) wt%</t>
  </si>
  <si>
    <t>Al2O3 (glass) wt%</t>
  </si>
  <si>
    <t>P2O5</t>
  </si>
  <si>
    <t>ZrO2</t>
  </si>
  <si>
    <t>M06-1050-5h-1</t>
  </si>
  <si>
    <t>M17-1060-5h-1</t>
  </si>
  <si>
    <t>Fe+Pt</t>
  </si>
  <si>
    <t>M17-1060-5h-5</t>
  </si>
  <si>
    <t>M19-1080-5h-1</t>
  </si>
  <si>
    <t>M19-1080-5h-2</t>
  </si>
  <si>
    <t>M19-1080-5h-5</t>
  </si>
  <si>
    <t>M03-1100-5h-1</t>
  </si>
  <si>
    <t>M07-1100-5h-1</t>
  </si>
  <si>
    <t>M07-1100-5h-2</t>
  </si>
  <si>
    <t>M07-1100-5h-3</t>
  </si>
  <si>
    <t>M07-1100-5h-4</t>
  </si>
  <si>
    <t>M09-1100-5h-1</t>
  </si>
  <si>
    <t>M09-1100-5h-3</t>
  </si>
  <si>
    <t>M09-1100-5h-4</t>
  </si>
  <si>
    <t>M09-1100-5h-5</t>
  </si>
  <si>
    <t>M20-1130-5h-1</t>
  </si>
  <si>
    <t>M20-1130-5h-2</t>
  </si>
  <si>
    <t>M20-1130-5h-3</t>
  </si>
  <si>
    <t>M20-1130-5h-5</t>
  </si>
  <si>
    <t>AuPd</t>
  </si>
  <si>
    <t>M26-1130-2</t>
  </si>
  <si>
    <t>M26-1130-3</t>
  </si>
  <si>
    <t>M26-1130-4</t>
  </si>
  <si>
    <t>M26-1130-5</t>
  </si>
  <si>
    <t>M08-1200-5h-2</t>
  </si>
  <si>
    <t>M08-1200-5h-3</t>
  </si>
  <si>
    <t>M08-1200-5h-5</t>
  </si>
  <si>
    <t>M15-1200-5h-1</t>
  </si>
  <si>
    <t>M15-1200-5h-2</t>
  </si>
  <si>
    <t>M15-1200-5h-3</t>
  </si>
  <si>
    <t>M15-1200-5h-4</t>
  </si>
  <si>
    <t>M15-1200-5h-5</t>
  </si>
  <si>
    <t>M25-1200-1</t>
  </si>
  <si>
    <t>M25-1200-4</t>
  </si>
  <si>
    <t>M25-1200-5</t>
  </si>
  <si>
    <t>M10-1300-3h-2</t>
  </si>
  <si>
    <t>M10-1300-3h-3</t>
  </si>
  <si>
    <t>M12-1300-3h-4</t>
  </si>
  <si>
    <t>M12-1300-3h-5</t>
  </si>
  <si>
    <t>duration (h)</t>
  </si>
  <si>
    <t>*fit forced through the origin; used for calculations in Fig S11</t>
  </si>
  <si>
    <t>Data available in Thiessen et al., (2018)</t>
  </si>
  <si>
    <t>Data available in Grange et al., (2013)</t>
  </si>
  <si>
    <t>Data available in Nemchin et al., (2008)</t>
  </si>
  <si>
    <t>Data available in Compston et al., (1984)</t>
  </si>
  <si>
    <t>Data available in Grange et al., (2009)</t>
  </si>
  <si>
    <t>Data available in Grange et al., (2011)</t>
  </si>
  <si>
    <t>Ti-zircon Temperatures</t>
  </si>
  <si>
    <t>Temp</t>
  </si>
  <si>
    <t>Celsius</t>
  </si>
  <si>
    <t>AlIglass calculator</t>
  </si>
  <si>
    <t>AlIGlass</t>
  </si>
  <si>
    <t>Imput SiO2 and Al2O3 values</t>
  </si>
  <si>
    <t>AlIzpm calculator</t>
  </si>
  <si>
    <t>Imput Al-in-zircon ppm</t>
  </si>
  <si>
    <t>Forced to origin</t>
  </si>
  <si>
    <t>Not forced to origin</t>
  </si>
  <si>
    <t>M281200 a-1</t>
  </si>
  <si>
    <t>Graphite</t>
  </si>
  <si>
    <t>comments</t>
  </si>
  <si>
    <t>**</t>
  </si>
  <si>
    <t>fit includes 1 atm experiment</t>
  </si>
  <si>
    <t>all glasses</t>
  </si>
  <si>
    <t>glasses with totals  &gt;95% only</t>
  </si>
  <si>
    <t/>
  </si>
  <si>
    <t xml:space="preserve">** fit forced through origin; (preferred) </t>
  </si>
  <si>
    <r>
      <t>AlI</t>
    </r>
    <r>
      <rPr>
        <b/>
        <vertAlign val="subscript"/>
        <sz val="12"/>
        <color theme="1"/>
        <rFont val="Times New Roman"/>
        <family val="1"/>
      </rPr>
      <t>glass</t>
    </r>
  </si>
  <si>
    <r>
      <t>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</t>
    </r>
  </si>
  <si>
    <r>
      <t>AlI</t>
    </r>
    <r>
      <rPr>
        <b/>
        <vertAlign val="subscript"/>
        <sz val="12"/>
        <color rgb="FF000000"/>
        <rFont val="Times New Roman"/>
        <family val="1"/>
      </rPr>
      <t>glass</t>
    </r>
  </si>
  <si>
    <r>
      <t>AlI</t>
    </r>
    <r>
      <rPr>
        <b/>
        <vertAlign val="subscript"/>
        <sz val="12"/>
        <color theme="1"/>
        <rFont val="Times New Roman"/>
        <family val="1"/>
      </rPr>
      <t>zpm</t>
    </r>
    <r>
      <rPr>
        <b/>
        <sz val="12"/>
        <color theme="1"/>
        <rFont val="Times New Roman"/>
        <family val="1"/>
      </rPr>
      <t>/AlI</t>
    </r>
    <r>
      <rPr>
        <b/>
        <vertAlign val="subscript"/>
        <sz val="12"/>
        <color theme="1"/>
        <rFont val="Times New Roman"/>
        <family val="1"/>
      </rPr>
      <t>glass</t>
    </r>
  </si>
  <si>
    <r>
      <t>T (</t>
    </r>
    <r>
      <rPr>
        <b/>
        <vertAlign val="superscript"/>
        <sz val="12"/>
        <rFont val="Times New Roman"/>
        <family val="1"/>
      </rPr>
      <t>o</t>
    </r>
    <r>
      <rPr>
        <b/>
        <sz val="12"/>
        <rFont val="Times New Roman"/>
        <family val="1"/>
      </rPr>
      <t xml:space="preserve">C) </t>
    </r>
  </si>
  <si>
    <r>
      <rPr>
        <b/>
        <sz val="12"/>
        <color theme="1"/>
        <rFont val="Times New Roman"/>
        <family val="1"/>
      </rPr>
      <t>Data S1</t>
    </r>
    <r>
      <rPr>
        <sz val="12"/>
        <color theme="1"/>
        <rFont val="Times New Roman"/>
        <family val="1"/>
      </rPr>
      <t xml:space="preserve"> - List of samples and zircon with Al analyses information</t>
    </r>
  </si>
  <si>
    <t>Data S2 - Zircon Age and Trace Element Data</t>
  </si>
  <si>
    <t>Data S3 - Glass composition</t>
  </si>
  <si>
    <t>Data S4 - Glass/zircon correlation</t>
  </si>
  <si>
    <t>Data S5 - Starting compositions for Al-in-zircon experiments</t>
  </si>
  <si>
    <t>Data S6 - Fits for Al-in-zircon experimental runs</t>
  </si>
  <si>
    <t>Data S7 - Experimental parameters and data</t>
  </si>
  <si>
    <t>Data S8 - Calculator for AlIzpm and AlIGlass</t>
  </si>
  <si>
    <r>
      <t>ALI</t>
    </r>
    <r>
      <rPr>
        <b/>
        <vertAlign val="subscript"/>
        <sz val="12"/>
        <color theme="1"/>
        <rFont val="Times New Roman"/>
        <family val="1"/>
      </rPr>
      <t>zpm</t>
    </r>
    <r>
      <rPr>
        <b/>
        <sz val="12"/>
        <color theme="1"/>
        <rFont val="Times New Roman"/>
        <family val="1"/>
      </rPr>
      <t xml:space="preserve"> Origin</t>
    </r>
  </si>
  <si>
    <t>Glass location</t>
  </si>
  <si>
    <t>SiO2</t>
  </si>
  <si>
    <t>SiO2_std</t>
  </si>
  <si>
    <t>TiO2</t>
  </si>
  <si>
    <t>TiO2_std</t>
  </si>
  <si>
    <t>Al2O3</t>
  </si>
  <si>
    <t>Al2O3_std</t>
  </si>
  <si>
    <t>FeO_std</t>
  </si>
  <si>
    <t>MgO_std</t>
  </si>
  <si>
    <t>CaO_std</t>
  </si>
  <si>
    <t>Na2O</t>
  </si>
  <si>
    <t>Na2O_std</t>
  </si>
  <si>
    <t>K2O</t>
  </si>
  <si>
    <t>K2O_std</t>
  </si>
  <si>
    <t>Total_majors</t>
  </si>
  <si>
    <t>P2O5_std</t>
  </si>
  <si>
    <t>MnO_std</t>
  </si>
  <si>
    <t>ZrO2_std</t>
  </si>
  <si>
    <t>Total_all</t>
  </si>
  <si>
    <t>Al_zircon</t>
  </si>
  <si>
    <t>Al_zircon_std</t>
  </si>
  <si>
    <r>
      <t>ALI</t>
    </r>
    <r>
      <rPr>
        <b/>
        <vertAlign val="subscript"/>
        <sz val="12"/>
        <color theme="1"/>
        <rFont val="Times New Roman"/>
        <family val="1"/>
      </rPr>
      <t>zpm</t>
    </r>
    <r>
      <rPr>
        <b/>
        <sz val="12"/>
        <color theme="1"/>
        <rFont val="Times New Roman"/>
        <family val="1"/>
      </rPr>
      <t xml:space="preserve"> origin</t>
    </r>
  </si>
  <si>
    <t>M291250  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</si>
</sst>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  <font>
      <b/>
      <vertAlign val="sub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color theme="9" tint="-0.249977111117893"/>
      <name val="Aptos Narrow"/>
      <family val="2"/>
      <scheme val="minor"/>
    </font>
    <font>
      <vertAlign val="superscript"/>
      <sz val="11"/>
      <color theme="1"/>
      <name val="Times New Roman"/>
      <family val="1"/>
    </font>
    <font>
      <b/>
      <vertAlign val="superscript"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8D8D8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7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3" xfId="1" applyFont="1" applyBorder="1" applyAlignment="1">
      <alignment horizontal="center"/>
    </xf>
    <xf numFmtId="1" fontId="2" fillId="0" borderId="3" xfId="1" applyNumberFormat="1" applyFont="1" applyBorder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  <xf numFmtId="0" fontId="1" fillId="0" borderId="0" xfId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1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5" xfId="0" applyFont="1" applyBorder="1"/>
    <xf numFmtId="165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0" xfId="0" quotePrefix="1" applyNumberFormat="1" applyFont="1" applyAlignment="1">
      <alignment horizontal="center"/>
    </xf>
    <xf numFmtId="164" fontId="1" fillId="0" borderId="0" xfId="0" applyNumberFormat="1" applyFont="1"/>
    <xf numFmtId="1" fontId="2" fillId="0" borderId="3" xfId="0" applyNumberFormat="1" applyFont="1" applyBorder="1" applyAlignment="1">
      <alignment horizontal="center"/>
    </xf>
    <xf numFmtId="165" fontId="1" fillId="0" borderId="6" xfId="0" applyNumberFormat="1" applyFont="1" applyBorder="1"/>
    <xf numFmtId="1" fontId="1" fillId="0" borderId="4" xfId="0" applyNumberFormat="1" applyFont="1" applyBorder="1"/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/>
    <xf numFmtId="165" fontId="9" fillId="0" borderId="3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2" xfId="0" applyBorder="1"/>
    <xf numFmtId="1" fontId="1" fillId="0" borderId="3" xfId="1" applyNumberFormat="1" applyFont="1" applyBorder="1" applyAlignment="1">
      <alignment horizontal="center"/>
    </xf>
    <xf numFmtId="1" fontId="1" fillId="0" borderId="0" xfId="1" applyNumberFormat="1" applyFont="1" applyAlignment="1">
      <alignment horizontal="center"/>
    </xf>
    <xf numFmtId="1" fontId="1" fillId="0" borderId="1" xfId="1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0" borderId="9" xfId="0" applyNumberFormat="1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1" xfId="0" applyBorder="1"/>
    <xf numFmtId="0" fontId="0" fillId="0" borderId="5" xfId="0" applyBorder="1"/>
    <xf numFmtId="0" fontId="0" fillId="2" borderId="3" xfId="0" applyFill="1" applyBorder="1"/>
    <xf numFmtId="0" fontId="0" fillId="2" borderId="9" xfId="0" applyFill="1" applyBorder="1"/>
    <xf numFmtId="0" fontId="15" fillId="2" borderId="6" xfId="0" applyFont="1" applyFill="1" applyBorder="1"/>
    <xf numFmtId="0" fontId="0" fillId="2" borderId="0" xfId="0" applyFill="1"/>
    <xf numFmtId="0" fontId="0" fillId="2" borderId="4" xfId="0" applyFill="1" applyBorder="1"/>
    <xf numFmtId="0" fontId="2" fillId="2" borderId="8" xfId="0" applyFont="1" applyFill="1" applyBorder="1"/>
    <xf numFmtId="0" fontId="2" fillId="3" borderId="8" xfId="0" applyFont="1" applyFill="1" applyBorder="1"/>
    <xf numFmtId="0" fontId="0" fillId="3" borderId="9" xfId="0" applyFill="1" applyBorder="1"/>
    <xf numFmtId="0" fontId="15" fillId="3" borderId="7" xfId="0" applyFont="1" applyFill="1" applyBorder="1"/>
    <xf numFmtId="0" fontId="0" fillId="3" borderId="5" xfId="0" applyFill="1" applyBorder="1"/>
    <xf numFmtId="0" fontId="2" fillId="3" borderId="3" xfId="0" applyFont="1" applyFill="1" applyBorder="1"/>
    <xf numFmtId="0" fontId="15" fillId="3" borderId="1" xfId="0" applyFont="1" applyFill="1" applyBorder="1"/>
    <xf numFmtId="0" fontId="1" fillId="2" borderId="14" xfId="0" applyFont="1" applyFill="1" applyBorder="1" applyAlignment="1">
      <alignment horizontal="center" vertical="top"/>
    </xf>
    <xf numFmtId="166" fontId="1" fillId="0" borderId="3" xfId="0" applyNumberFormat="1" applyFont="1" applyBorder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6" fillId="0" borderId="0" xfId="0" applyFont="1"/>
    <xf numFmtId="0" fontId="4" fillId="0" borderId="10" xfId="0" applyFont="1" applyBorder="1" applyAlignment="1">
      <alignment horizontal="left" vertical="top"/>
    </xf>
    <xf numFmtId="0" fontId="2" fillId="0" borderId="2" xfId="0" applyFont="1" applyBorder="1"/>
    <xf numFmtId="0" fontId="1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center"/>
    </xf>
    <xf numFmtId="0" fontId="9" fillId="0" borderId="1" xfId="0" applyFont="1" applyBorder="1"/>
    <xf numFmtId="0" fontId="9" fillId="0" borderId="1" xfId="0" quotePrefix="1" applyFont="1" applyBorder="1"/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6" xfId="0" applyFont="1" applyBorder="1"/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14" fillId="0" borderId="0" xfId="0" applyNumberFormat="1" applyFont="1"/>
    <xf numFmtId="1" fontId="14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2" fillId="0" borderId="2" xfId="0" applyFont="1" applyBorder="1" applyAlignment="1">
      <alignment horizontal="center" wrapText="1"/>
    </xf>
    <xf numFmtId="166" fontId="1" fillId="0" borderId="3" xfId="0" applyNumberFormat="1" applyFont="1" applyBorder="1"/>
    <xf numFmtId="166" fontId="1" fillId="0" borderId="0" xfId="0" applyNumberFormat="1" applyFont="1"/>
    <xf numFmtId="166" fontId="1" fillId="0" borderId="1" xfId="0" applyNumberFormat="1" applyFont="1" applyBorder="1"/>
    <xf numFmtId="0" fontId="13" fillId="0" borderId="10" xfId="0" applyFont="1" applyBorder="1"/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13" fillId="0" borderId="2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0" borderId="13" xfId="0" applyFont="1" applyBorder="1" applyAlignment="1">
      <alignment horizontal="center" wrapText="1"/>
    </xf>
    <xf numFmtId="0" fontId="13" fillId="0" borderId="13" xfId="0" applyFont="1" applyBorder="1" applyAlignment="1">
      <alignment wrapText="1"/>
    </xf>
    <xf numFmtId="165" fontId="9" fillId="0" borderId="1" xfId="0" applyNumberFormat="1" applyFont="1" applyBorder="1" applyAlignment="1">
      <alignment horizontal="center" vertical="center"/>
    </xf>
    <xf numFmtId="165" fontId="1" fillId="0" borderId="3" xfId="0" applyNumberFormat="1" applyFont="1" applyBorder="1"/>
  </cellXfs>
  <cellStyles count="2">
    <cellStyle name="Normal" xfId="0" builtinId="0"/>
    <cellStyle name="Normal 2" xfId="1" xr:uid="{17B639B4-E5E0-DC4C-9796-D579EC7C2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00B9-5076-2F43-A6D5-600C4D957EDA}">
  <dimension ref="A1:M46"/>
  <sheetViews>
    <sheetView workbookViewId="0"/>
  </sheetViews>
  <sheetFormatPr baseColWidth="10" defaultColWidth="10.83203125" defaultRowHeight="16" x14ac:dyDescent="0.2"/>
  <cols>
    <col min="1" max="2" width="10.83203125" style="13"/>
    <col min="3" max="3" width="15.6640625" style="13" customWidth="1"/>
    <col min="4" max="4" width="14.6640625" style="13" customWidth="1"/>
    <col min="5" max="7" width="10.83203125" style="13"/>
    <col min="8" max="8" width="13.6640625" style="13" customWidth="1"/>
    <col min="9" max="12" width="10.83203125" style="13"/>
    <col min="13" max="13" width="10.83203125" style="14"/>
    <col min="14" max="16384" width="10.83203125" style="13"/>
  </cols>
  <sheetData>
    <row r="1" spans="1:12" s="8" customFormat="1" ht="19" customHeight="1" x14ac:dyDescent="0.2">
      <c r="A1" s="8" t="s">
        <v>237</v>
      </c>
    </row>
    <row r="2" spans="1:12" s="9" customFormat="1" ht="3" customHeight="1" x14ac:dyDescent="0.2"/>
    <row r="3" spans="1:12" s="10" customFormat="1" x14ac:dyDescent="0.2">
      <c r="A3" s="20" t="s">
        <v>7</v>
      </c>
      <c r="B3" s="9" t="s">
        <v>8</v>
      </c>
      <c r="C3" s="9" t="s">
        <v>9</v>
      </c>
      <c r="D3" s="9" t="s">
        <v>10</v>
      </c>
      <c r="E3" s="21" t="s">
        <v>11</v>
      </c>
      <c r="F3" s="20" t="s">
        <v>11</v>
      </c>
      <c r="G3" s="9" t="s">
        <v>12</v>
      </c>
      <c r="H3" s="21" t="s">
        <v>13</v>
      </c>
      <c r="I3" s="20" t="s">
        <v>3</v>
      </c>
      <c r="J3" s="9" t="s">
        <v>3</v>
      </c>
      <c r="K3" s="9" t="s">
        <v>3</v>
      </c>
      <c r="L3" s="21" t="s">
        <v>3</v>
      </c>
    </row>
    <row r="4" spans="1:12" s="11" customFormat="1" x14ac:dyDescent="0.2">
      <c r="A4" s="18"/>
      <c r="E4" s="15" t="s">
        <v>0</v>
      </c>
      <c r="F4" s="18" t="s">
        <v>1</v>
      </c>
      <c r="G4" s="11" t="s">
        <v>2</v>
      </c>
      <c r="H4" s="15" t="s">
        <v>2</v>
      </c>
      <c r="I4" s="18" t="s">
        <v>2</v>
      </c>
      <c r="J4" s="11" t="s">
        <v>4</v>
      </c>
      <c r="K4" s="11" t="s">
        <v>14</v>
      </c>
      <c r="L4" s="15" t="s">
        <v>6</v>
      </c>
    </row>
    <row r="5" spans="1:12" s="12" customFormat="1" x14ac:dyDescent="0.2">
      <c r="A5" s="19" t="s">
        <v>15</v>
      </c>
      <c r="B5" s="12" t="s">
        <v>16</v>
      </c>
      <c r="C5" s="12" t="s">
        <v>17</v>
      </c>
      <c r="D5" s="12" t="s">
        <v>20</v>
      </c>
      <c r="E5" s="16">
        <v>4129</v>
      </c>
      <c r="F5" s="19"/>
      <c r="G5" s="12">
        <v>1</v>
      </c>
      <c r="H5" s="16">
        <v>1</v>
      </c>
      <c r="I5" s="19">
        <v>0</v>
      </c>
      <c r="J5" s="12">
        <v>0</v>
      </c>
      <c r="K5" s="12">
        <v>0</v>
      </c>
      <c r="L5" s="16">
        <v>0</v>
      </c>
    </row>
    <row r="6" spans="1:12" s="12" customFormat="1" x14ac:dyDescent="0.2">
      <c r="A6" s="19"/>
      <c r="B6" s="12" t="s">
        <v>19</v>
      </c>
      <c r="C6" s="12" t="s">
        <v>18</v>
      </c>
      <c r="D6" s="12" t="s">
        <v>20</v>
      </c>
      <c r="E6" s="16">
        <v>4017</v>
      </c>
      <c r="F6" s="19">
        <v>4327</v>
      </c>
      <c r="G6" s="12">
        <v>3</v>
      </c>
      <c r="H6" s="16">
        <v>3</v>
      </c>
      <c r="I6" s="19">
        <v>0</v>
      </c>
      <c r="J6" s="12">
        <v>0</v>
      </c>
      <c r="K6" s="12">
        <v>0</v>
      </c>
      <c r="L6" s="16">
        <v>0</v>
      </c>
    </row>
    <row r="7" spans="1:12" s="12" customFormat="1" x14ac:dyDescent="0.2">
      <c r="A7" s="19" t="s">
        <v>21</v>
      </c>
      <c r="B7" s="12" t="s">
        <v>23</v>
      </c>
      <c r="C7" s="12" t="s">
        <v>25</v>
      </c>
      <c r="D7" s="12" t="s">
        <v>28</v>
      </c>
      <c r="E7" s="16">
        <v>4330</v>
      </c>
      <c r="F7" s="19"/>
      <c r="G7" s="12">
        <v>1</v>
      </c>
      <c r="H7" s="16">
        <v>2</v>
      </c>
      <c r="I7" s="19">
        <v>1</v>
      </c>
      <c r="J7" s="12">
        <v>0</v>
      </c>
      <c r="K7" s="12">
        <v>0</v>
      </c>
      <c r="L7" s="16">
        <v>1</v>
      </c>
    </row>
    <row r="8" spans="1:12" s="12" customFormat="1" x14ac:dyDescent="0.2">
      <c r="A8" s="19"/>
      <c r="B8" s="12" t="s">
        <v>22</v>
      </c>
      <c r="C8" s="12" t="s">
        <v>26</v>
      </c>
      <c r="D8" s="12" t="s">
        <v>28</v>
      </c>
      <c r="E8" s="16">
        <v>4229</v>
      </c>
      <c r="F8" s="19">
        <v>4338</v>
      </c>
      <c r="G8" s="12">
        <v>12</v>
      </c>
      <c r="H8" s="16">
        <v>13</v>
      </c>
      <c r="I8" s="19">
        <v>15</v>
      </c>
      <c r="J8" s="12">
        <v>7</v>
      </c>
      <c r="K8" s="12">
        <v>8</v>
      </c>
      <c r="L8" s="16">
        <v>0</v>
      </c>
    </row>
    <row r="9" spans="1:12" s="12" customFormat="1" x14ac:dyDescent="0.2">
      <c r="A9" s="19"/>
      <c r="B9" s="12" t="s">
        <v>24</v>
      </c>
      <c r="C9" s="12" t="s">
        <v>27</v>
      </c>
      <c r="D9" s="12" t="s">
        <v>28</v>
      </c>
      <c r="E9" s="16">
        <v>4390</v>
      </c>
      <c r="F9" s="19"/>
      <c r="G9" s="12">
        <v>1</v>
      </c>
      <c r="H9" s="16">
        <v>1</v>
      </c>
      <c r="I9" s="19">
        <v>1</v>
      </c>
      <c r="J9" s="12">
        <v>1</v>
      </c>
      <c r="K9" s="12">
        <v>0</v>
      </c>
      <c r="L9" s="16">
        <v>0</v>
      </c>
    </row>
    <row r="10" spans="1:12" s="12" customFormat="1" x14ac:dyDescent="0.2">
      <c r="A10" s="19" t="s">
        <v>29</v>
      </c>
      <c r="B10" s="12" t="s">
        <v>30</v>
      </c>
      <c r="C10" s="12" t="s">
        <v>32</v>
      </c>
      <c r="D10" s="12" t="s">
        <v>20</v>
      </c>
      <c r="E10" s="16">
        <v>4190</v>
      </c>
      <c r="F10" s="19"/>
      <c r="G10" s="12">
        <v>1</v>
      </c>
      <c r="H10" s="16">
        <v>1</v>
      </c>
      <c r="I10" s="19">
        <v>6</v>
      </c>
      <c r="J10" s="12">
        <v>0</v>
      </c>
      <c r="K10" s="12">
        <v>6</v>
      </c>
      <c r="L10" s="16">
        <v>0</v>
      </c>
    </row>
    <row r="11" spans="1:12" s="12" customFormat="1" x14ac:dyDescent="0.2">
      <c r="A11" s="19"/>
      <c r="B11" s="12" t="s">
        <v>31</v>
      </c>
      <c r="C11" s="12" t="s">
        <v>33</v>
      </c>
      <c r="D11" s="12" t="s">
        <v>20</v>
      </c>
      <c r="E11" s="16">
        <v>4310</v>
      </c>
      <c r="F11" s="19">
        <v>4312</v>
      </c>
      <c r="G11" s="12">
        <v>4</v>
      </c>
      <c r="H11" s="16">
        <v>2</v>
      </c>
      <c r="I11" s="19">
        <v>5</v>
      </c>
      <c r="J11" s="12">
        <v>0</v>
      </c>
      <c r="K11" s="12">
        <v>3</v>
      </c>
      <c r="L11" s="16">
        <v>2</v>
      </c>
    </row>
    <row r="12" spans="1:12" s="12" customFormat="1" x14ac:dyDescent="0.2">
      <c r="A12" s="19" t="s">
        <v>34</v>
      </c>
      <c r="B12" s="12" t="s">
        <v>23</v>
      </c>
      <c r="C12" s="12" t="s">
        <v>35</v>
      </c>
      <c r="D12" s="12" t="s">
        <v>20</v>
      </c>
      <c r="E12" s="16">
        <v>4220</v>
      </c>
      <c r="F12" s="19"/>
      <c r="G12" s="12">
        <v>1</v>
      </c>
      <c r="H12" s="16">
        <v>1</v>
      </c>
      <c r="I12" s="19">
        <v>4</v>
      </c>
      <c r="J12" s="12">
        <v>0</v>
      </c>
      <c r="K12" s="12">
        <v>4</v>
      </c>
      <c r="L12" s="16">
        <v>0</v>
      </c>
    </row>
    <row r="13" spans="1:12" s="12" customFormat="1" x14ac:dyDescent="0.2">
      <c r="A13" s="19"/>
      <c r="B13" s="12" t="s">
        <v>24</v>
      </c>
      <c r="C13" s="12" t="s">
        <v>36</v>
      </c>
      <c r="D13" s="12" t="s">
        <v>20</v>
      </c>
      <c r="E13" s="16">
        <v>4330</v>
      </c>
      <c r="F13" s="19">
        <v>4312</v>
      </c>
      <c r="G13" s="12">
        <v>1</v>
      </c>
      <c r="H13" s="16">
        <v>1</v>
      </c>
      <c r="I13" s="19">
        <v>7</v>
      </c>
      <c r="J13" s="12">
        <v>0</v>
      </c>
      <c r="K13" s="12">
        <v>5</v>
      </c>
      <c r="L13" s="16">
        <v>2</v>
      </c>
    </row>
    <row r="14" spans="1:12" s="12" customFormat="1" x14ac:dyDescent="0.2">
      <c r="A14" s="19" t="s">
        <v>37</v>
      </c>
      <c r="B14" s="12" t="s">
        <v>38</v>
      </c>
      <c r="C14" s="12" t="s">
        <v>39</v>
      </c>
      <c r="D14" s="12" t="s">
        <v>20</v>
      </c>
      <c r="E14" s="16">
        <v>4106</v>
      </c>
      <c r="F14" s="19">
        <v>4354</v>
      </c>
      <c r="G14" s="12">
        <v>2</v>
      </c>
      <c r="H14" s="16">
        <v>5</v>
      </c>
      <c r="I14" s="19">
        <v>0</v>
      </c>
      <c r="J14" s="12">
        <v>0</v>
      </c>
      <c r="K14" s="12">
        <v>0</v>
      </c>
      <c r="L14" s="16">
        <v>0</v>
      </c>
    </row>
    <row r="15" spans="1:12" s="12" customFormat="1" x14ac:dyDescent="0.2">
      <c r="A15" s="19" t="s">
        <v>40</v>
      </c>
      <c r="B15" s="12" t="s">
        <v>38</v>
      </c>
      <c r="C15" s="12" t="s">
        <v>44</v>
      </c>
      <c r="D15" s="12" t="s">
        <v>20</v>
      </c>
      <c r="E15" s="16">
        <v>4405</v>
      </c>
      <c r="F15" s="19"/>
      <c r="G15" s="12">
        <v>1</v>
      </c>
      <c r="H15" s="16">
        <v>1</v>
      </c>
      <c r="I15" s="19">
        <v>0</v>
      </c>
      <c r="J15" s="12">
        <v>0</v>
      </c>
      <c r="K15" s="12">
        <v>0</v>
      </c>
      <c r="L15" s="16">
        <v>0</v>
      </c>
    </row>
    <row r="16" spans="1:12" s="12" customFormat="1" x14ac:dyDescent="0.2">
      <c r="A16" s="19"/>
      <c r="B16" s="12" t="s">
        <v>41</v>
      </c>
      <c r="C16" s="12" t="s">
        <v>45</v>
      </c>
      <c r="D16" s="12" t="s">
        <v>28</v>
      </c>
      <c r="E16" s="16">
        <v>4212</v>
      </c>
      <c r="F16" s="19"/>
      <c r="G16" s="12">
        <v>1</v>
      </c>
      <c r="H16" s="16">
        <v>1</v>
      </c>
      <c r="I16" s="19">
        <v>1</v>
      </c>
      <c r="J16" s="12">
        <v>1</v>
      </c>
      <c r="K16" s="12">
        <v>0</v>
      </c>
      <c r="L16" s="16">
        <v>0</v>
      </c>
    </row>
    <row r="17" spans="1:13" s="12" customFormat="1" x14ac:dyDescent="0.2">
      <c r="A17" s="19"/>
      <c r="B17" s="12" t="s">
        <v>42</v>
      </c>
      <c r="C17" s="12" t="s">
        <v>46</v>
      </c>
      <c r="D17" s="12" t="s">
        <v>20</v>
      </c>
      <c r="E17" s="16">
        <v>4346</v>
      </c>
      <c r="F17" s="19"/>
      <c r="G17" s="12">
        <v>1</v>
      </c>
      <c r="H17" s="16">
        <v>2</v>
      </c>
      <c r="I17" s="19">
        <v>0</v>
      </c>
      <c r="J17" s="12">
        <v>0</v>
      </c>
      <c r="K17" s="12">
        <v>0</v>
      </c>
      <c r="L17" s="16">
        <v>0</v>
      </c>
    </row>
    <row r="18" spans="1:13" s="12" customFormat="1" x14ac:dyDescent="0.2">
      <c r="A18" s="22"/>
      <c r="B18" s="23" t="s">
        <v>43</v>
      </c>
      <c r="C18" s="23" t="s">
        <v>47</v>
      </c>
      <c r="D18" s="23" t="s">
        <v>20</v>
      </c>
      <c r="E18" s="24">
        <v>4347</v>
      </c>
      <c r="F18" s="22"/>
      <c r="G18" s="23">
        <v>1</v>
      </c>
      <c r="H18" s="24">
        <v>1</v>
      </c>
      <c r="I18" s="22">
        <v>0</v>
      </c>
      <c r="J18" s="23">
        <v>0</v>
      </c>
      <c r="K18" s="23">
        <v>0</v>
      </c>
      <c r="L18" s="24">
        <v>0</v>
      </c>
    </row>
    <row r="19" spans="1:13" s="12" customFormat="1" x14ac:dyDescent="0.2"/>
    <row r="20" spans="1:13" s="12" customFormat="1" x14ac:dyDescent="0.2"/>
    <row r="21" spans="1:13" s="12" customFormat="1" x14ac:dyDescent="0.2"/>
    <row r="22" spans="1:13" s="12" customFormat="1" x14ac:dyDescent="0.2"/>
    <row r="23" spans="1:13" s="12" customFormat="1" x14ac:dyDescent="0.2"/>
    <row r="24" spans="1:13" s="12" customFormat="1" x14ac:dyDescent="0.2"/>
    <row r="25" spans="1:13" s="12" customFormat="1" x14ac:dyDescent="0.2"/>
    <row r="26" spans="1:13" s="12" customFormat="1" x14ac:dyDescent="0.2"/>
    <row r="27" spans="1:13" x14ac:dyDescent="0.2">
      <c r="M27" s="13"/>
    </row>
    <row r="28" spans="1:13" x14ac:dyDescent="0.2">
      <c r="M28" s="13"/>
    </row>
    <row r="29" spans="1:13" x14ac:dyDescent="0.2">
      <c r="M29" s="13"/>
    </row>
    <row r="30" spans="1:13" x14ac:dyDescent="0.2">
      <c r="M30" s="13"/>
    </row>
    <row r="31" spans="1:13" x14ac:dyDescent="0.2">
      <c r="M31" s="13"/>
    </row>
    <row r="32" spans="1:13" x14ac:dyDescent="0.2">
      <c r="M32" s="13"/>
    </row>
    <row r="33" spans="13:13" x14ac:dyDescent="0.2">
      <c r="M33" s="13"/>
    </row>
    <row r="34" spans="13:13" x14ac:dyDescent="0.2">
      <c r="M34" s="13"/>
    </row>
    <row r="35" spans="13:13" x14ac:dyDescent="0.2">
      <c r="M35" s="13"/>
    </row>
    <row r="36" spans="13:13" x14ac:dyDescent="0.2">
      <c r="M36" s="13"/>
    </row>
    <row r="37" spans="13:13" x14ac:dyDescent="0.2">
      <c r="M37" s="13"/>
    </row>
    <row r="38" spans="13:13" x14ac:dyDescent="0.2">
      <c r="M38" s="13"/>
    </row>
    <row r="39" spans="13:13" x14ac:dyDescent="0.2">
      <c r="M39" s="13"/>
    </row>
    <row r="40" spans="13:13" x14ac:dyDescent="0.2">
      <c r="M40" s="13"/>
    </row>
    <row r="41" spans="13:13" x14ac:dyDescent="0.2">
      <c r="M41" s="13"/>
    </row>
    <row r="42" spans="13:13" x14ac:dyDescent="0.2">
      <c r="M42" s="13"/>
    </row>
    <row r="43" spans="13:13" x14ac:dyDescent="0.2">
      <c r="M43" s="13"/>
    </row>
    <row r="44" spans="13:13" x14ac:dyDescent="0.2">
      <c r="M44" s="13"/>
    </row>
    <row r="45" spans="13:13" x14ac:dyDescent="0.2">
      <c r="M45" s="13"/>
    </row>
    <row r="46" spans="13:13" x14ac:dyDescent="0.2">
      <c r="M46" s="1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625E-EE1C-9D45-9C1C-C021FFC26EA3}">
  <dimension ref="A1:AQ5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10.83203125" defaultRowHeight="16" x14ac:dyDescent="0.2"/>
  <cols>
    <col min="1" max="2" width="10.83203125" style="1"/>
    <col min="3" max="3" width="14.5" style="1" customWidth="1"/>
    <col min="4" max="4" width="13.6640625" style="53" customWidth="1"/>
    <col min="5" max="7" width="10.83203125" style="1"/>
    <col min="8" max="8" width="12.33203125" style="1" customWidth="1"/>
    <col min="9" max="13" width="10.83203125" style="1"/>
    <col min="14" max="14" width="18.83203125" style="1" customWidth="1"/>
    <col min="15" max="15" width="10.83203125" style="1"/>
    <col min="16" max="16" width="17.5" style="1" customWidth="1"/>
    <col min="17" max="17" width="10.83203125" style="1"/>
    <col min="18" max="18" width="18.83203125" style="1" customWidth="1"/>
    <col min="19" max="20" width="10.83203125" style="1"/>
    <col min="21" max="21" width="20.1640625" style="54" customWidth="1"/>
    <col min="22" max="22" width="10.83203125" style="53"/>
    <col min="23" max="23" width="10.83203125" style="1"/>
    <col min="24" max="24" width="16.33203125" style="1" customWidth="1"/>
    <col min="25" max="25" width="10.83203125" style="54"/>
    <col min="26" max="27" width="10.83203125" style="1"/>
    <col min="28" max="28" width="10.83203125" style="48"/>
    <col min="29" max="31" width="10.83203125" style="3"/>
    <col min="32" max="32" width="13.33203125" style="3" customWidth="1"/>
    <col min="33" max="33" width="11.1640625" style="3" bestFit="1" customWidth="1"/>
    <col min="34" max="34" width="11.6640625" style="1" bestFit="1" customWidth="1"/>
    <col min="35" max="35" width="11.33203125" style="1" bestFit="1" customWidth="1"/>
    <col min="36" max="37" width="12.83203125" style="1" bestFit="1" customWidth="1"/>
    <col min="38" max="38" width="11.1640625" style="1" bestFit="1" customWidth="1"/>
    <col min="39" max="39" width="12.6640625" style="1" bestFit="1" customWidth="1"/>
    <col min="40" max="40" width="11.83203125" style="1" bestFit="1" customWidth="1"/>
    <col min="41" max="42" width="11.6640625" style="1" bestFit="1" customWidth="1"/>
    <col min="43" max="43" width="11" style="54" bestFit="1" customWidth="1"/>
    <col min="44" max="16384" width="10.83203125" style="1"/>
  </cols>
  <sheetData>
    <row r="1" spans="1:43" s="26" customFormat="1" ht="19" customHeight="1" x14ac:dyDescent="0.2">
      <c r="A1" s="39" t="s">
        <v>238</v>
      </c>
      <c r="D1" s="25"/>
      <c r="U1" s="27"/>
      <c r="V1" s="25"/>
      <c r="Y1" s="27"/>
      <c r="AB1" s="72"/>
      <c r="AC1" s="73"/>
      <c r="AD1" s="73"/>
      <c r="AE1" s="73"/>
      <c r="AF1" s="73"/>
      <c r="AG1" s="73"/>
      <c r="AQ1" s="27"/>
    </row>
    <row r="2" spans="1:43" s="13" customFormat="1" ht="19" customHeight="1" x14ac:dyDescent="0.2">
      <c r="D2" s="84" t="s">
        <v>48</v>
      </c>
      <c r="U2" s="28"/>
      <c r="V2" s="136" t="s">
        <v>62</v>
      </c>
      <c r="Y2" s="28"/>
      <c r="Z2" s="105" t="s">
        <v>213</v>
      </c>
      <c r="AA2" s="8"/>
      <c r="AB2" s="85" t="s">
        <v>67</v>
      </c>
      <c r="AC2" s="73"/>
      <c r="AD2" s="73"/>
      <c r="AE2" s="73"/>
      <c r="AF2" s="73"/>
      <c r="AG2" s="73"/>
      <c r="AH2" s="26"/>
      <c r="AI2" s="26"/>
      <c r="AJ2" s="26"/>
      <c r="AK2" s="26"/>
      <c r="AL2" s="26"/>
      <c r="AM2" s="26"/>
      <c r="AN2" s="26"/>
      <c r="AO2" s="26"/>
      <c r="AP2" s="26"/>
      <c r="AQ2" s="27"/>
    </row>
    <row r="3" spans="1:43" s="9" customFormat="1" ht="19" customHeight="1" x14ac:dyDescent="0.25">
      <c r="A3" s="10"/>
      <c r="B3" s="10"/>
      <c r="C3" s="10"/>
      <c r="D3" s="20" t="s">
        <v>49</v>
      </c>
      <c r="N3" s="9" t="s">
        <v>52</v>
      </c>
      <c r="V3" s="106" t="s">
        <v>65</v>
      </c>
      <c r="W3" s="107" t="s">
        <v>50</v>
      </c>
      <c r="X3" s="6" t="s">
        <v>64</v>
      </c>
      <c r="Y3" s="108" t="s">
        <v>50</v>
      </c>
      <c r="Z3" s="40" t="s">
        <v>214</v>
      </c>
      <c r="AA3" s="37" t="s">
        <v>50</v>
      </c>
      <c r="AB3" s="17" t="s">
        <v>84</v>
      </c>
      <c r="AC3" s="37" t="s">
        <v>50</v>
      </c>
      <c r="AD3" s="10" t="s">
        <v>85</v>
      </c>
      <c r="AE3" s="37" t="s">
        <v>50</v>
      </c>
      <c r="AF3" s="10" t="s">
        <v>86</v>
      </c>
      <c r="AG3" s="37" t="s">
        <v>50</v>
      </c>
      <c r="AH3" s="10" t="s">
        <v>87</v>
      </c>
      <c r="AI3" s="37" t="s">
        <v>50</v>
      </c>
      <c r="AJ3" s="10" t="s">
        <v>88</v>
      </c>
      <c r="AK3" s="37" t="s">
        <v>50</v>
      </c>
      <c r="AL3" s="10" t="s">
        <v>89</v>
      </c>
      <c r="AM3" s="37" t="s">
        <v>50</v>
      </c>
      <c r="AN3" s="10" t="s">
        <v>90</v>
      </c>
      <c r="AO3" s="37" t="s">
        <v>50</v>
      </c>
      <c r="AP3" s="10" t="s">
        <v>91</v>
      </c>
      <c r="AQ3" s="59" t="s">
        <v>50</v>
      </c>
    </row>
    <row r="4" spans="1:43" s="10" customFormat="1" x14ac:dyDescent="0.2">
      <c r="A4" s="10" t="s">
        <v>7</v>
      </c>
      <c r="B4" s="10" t="s">
        <v>8</v>
      </c>
      <c r="C4" s="10" t="s">
        <v>9</v>
      </c>
      <c r="D4" s="58" t="s">
        <v>53</v>
      </c>
      <c r="E4" s="37" t="s">
        <v>50</v>
      </c>
      <c r="F4" s="37" t="s">
        <v>54</v>
      </c>
      <c r="G4" s="37" t="s">
        <v>50</v>
      </c>
      <c r="H4" s="37" t="s">
        <v>55</v>
      </c>
      <c r="I4" s="37" t="s">
        <v>50</v>
      </c>
      <c r="J4" s="38" t="s">
        <v>56</v>
      </c>
      <c r="K4" s="37" t="s">
        <v>50</v>
      </c>
      <c r="L4" s="38" t="s">
        <v>57</v>
      </c>
      <c r="M4" s="37" t="s">
        <v>50</v>
      </c>
      <c r="N4" s="38" t="s">
        <v>58</v>
      </c>
      <c r="O4" s="37" t="s">
        <v>50</v>
      </c>
      <c r="P4" s="38" t="s">
        <v>59</v>
      </c>
      <c r="Q4" s="37" t="s">
        <v>50</v>
      </c>
      <c r="R4" s="38" t="s">
        <v>60</v>
      </c>
      <c r="S4" s="37" t="s">
        <v>50</v>
      </c>
      <c r="T4" s="37" t="s">
        <v>51</v>
      </c>
      <c r="U4" s="37" t="s">
        <v>61</v>
      </c>
      <c r="V4" s="17" t="s">
        <v>66</v>
      </c>
      <c r="X4" s="10" t="s">
        <v>221</v>
      </c>
      <c r="Y4" s="137"/>
      <c r="Z4" s="10" t="s">
        <v>215</v>
      </c>
      <c r="AB4" s="18" t="s">
        <v>66</v>
      </c>
      <c r="AC4" s="11"/>
      <c r="AD4" s="11" t="s">
        <v>66</v>
      </c>
      <c r="AE4" s="11"/>
      <c r="AF4" s="11"/>
      <c r="AG4" s="11"/>
      <c r="AH4" s="11" t="s">
        <v>66</v>
      </c>
      <c r="AI4" s="11"/>
      <c r="AJ4" s="11" t="s">
        <v>66</v>
      </c>
      <c r="AK4" s="11"/>
      <c r="AL4" s="11" t="s">
        <v>66</v>
      </c>
      <c r="AM4" s="11"/>
      <c r="AN4" s="11" t="s">
        <v>66</v>
      </c>
      <c r="AO4" s="11"/>
      <c r="AP4" s="11" t="s">
        <v>66</v>
      </c>
      <c r="AQ4" s="15"/>
    </row>
    <row r="5" spans="1:43" s="47" customFormat="1" x14ac:dyDescent="0.2">
      <c r="A5" s="60" t="s">
        <v>15</v>
      </c>
      <c r="B5" s="61" t="s">
        <v>16</v>
      </c>
      <c r="C5" s="61" t="s">
        <v>17</v>
      </c>
      <c r="D5" s="64" t="s">
        <v>207</v>
      </c>
      <c r="N5" s="61">
        <v>4129</v>
      </c>
      <c r="O5" s="62">
        <v>11</v>
      </c>
      <c r="V5" s="70">
        <v>4.6389896446089951</v>
      </c>
      <c r="W5" s="42">
        <v>0.63226906923583304</v>
      </c>
      <c r="X5" s="41">
        <v>7.9298968283914445E-3</v>
      </c>
      <c r="Y5" s="71">
        <v>7.9298968283914441E-4</v>
      </c>
      <c r="Z5" s="44">
        <v>926</v>
      </c>
      <c r="AA5" s="44">
        <v>70</v>
      </c>
      <c r="AB5" s="74">
        <v>87.824676158683303</v>
      </c>
      <c r="AC5" s="44">
        <v>2.1</v>
      </c>
      <c r="AD5" s="44">
        <v>168.62208342535672</v>
      </c>
      <c r="AE5" s="44">
        <v>4.4000000000000004</v>
      </c>
      <c r="AF5" s="45">
        <v>0.52083733265910159</v>
      </c>
      <c r="AG5" s="63">
        <f>AF5*SQRT((AC5/AB5)^2+(AE5/AD5)^2)</f>
        <v>1.843380323560144E-2</v>
      </c>
      <c r="AH5" s="44">
        <v>1852.3123578468535</v>
      </c>
      <c r="AI5" s="44">
        <v>128.07876109510622</v>
      </c>
      <c r="AJ5" s="44">
        <v>59.381278157850815</v>
      </c>
      <c r="AK5" s="44">
        <v>2.7135327434485701</v>
      </c>
      <c r="AL5" s="44">
        <v>40.411196901339828</v>
      </c>
      <c r="AM5" s="44">
        <v>0.79277713804999694</v>
      </c>
      <c r="AN5" s="44">
        <v>14842.686589255045</v>
      </c>
      <c r="AO5" s="44">
        <v>1228.1521587648608</v>
      </c>
      <c r="AP5" s="44">
        <v>1648.9578543261248</v>
      </c>
      <c r="AQ5" s="75">
        <v>30.81636129507088</v>
      </c>
    </row>
    <row r="6" spans="1:43" x14ac:dyDescent="0.2">
      <c r="A6" s="19"/>
      <c r="B6" s="12" t="s">
        <v>19</v>
      </c>
      <c r="C6" s="12" t="s">
        <v>18</v>
      </c>
      <c r="D6" s="48">
        <v>11550</v>
      </c>
      <c r="E6" s="3">
        <v>4084</v>
      </c>
      <c r="F6" s="57">
        <v>0.53159999999999996</v>
      </c>
      <c r="G6" s="57">
        <v>3.277E-3</v>
      </c>
      <c r="H6" s="41">
        <v>0.53059999999999996</v>
      </c>
      <c r="I6" s="41">
        <v>2.8110000000000001E-3</v>
      </c>
      <c r="J6" s="41">
        <v>68.069999999999993</v>
      </c>
      <c r="K6" s="41">
        <v>2.4140000000000001</v>
      </c>
      <c r="L6" s="41">
        <v>0.9304</v>
      </c>
      <c r="M6" s="41">
        <v>3.2669999999999998E-2</v>
      </c>
      <c r="N6" s="3">
        <v>4329</v>
      </c>
      <c r="O6" s="30">
        <v>7.7720000000000002</v>
      </c>
      <c r="P6" s="3">
        <v>4240</v>
      </c>
      <c r="Q6" s="30">
        <v>109.1</v>
      </c>
      <c r="R6" s="3">
        <v>4300</v>
      </c>
      <c r="S6" s="30">
        <v>35.479999999999997</v>
      </c>
      <c r="T6" s="42">
        <v>2.0990566037735858</v>
      </c>
      <c r="U6" s="42">
        <v>99.84</v>
      </c>
      <c r="V6" s="70">
        <v>45.923058129263843</v>
      </c>
      <c r="W6" s="42">
        <v>5.8240470186964846</v>
      </c>
      <c r="X6" s="41">
        <v>7.8500954067117684E-2</v>
      </c>
      <c r="Y6" s="71">
        <v>7.8500954067117681E-3</v>
      </c>
      <c r="Z6" s="30">
        <v>1024</v>
      </c>
      <c r="AA6" s="30">
        <v>70</v>
      </c>
      <c r="AB6" s="76">
        <v>39.670502420529374</v>
      </c>
      <c r="AC6" s="30">
        <v>1.1107654135880172</v>
      </c>
      <c r="AD6" s="30">
        <v>116.35835764411003</v>
      </c>
      <c r="AE6" s="30">
        <v>2.2426940648725737</v>
      </c>
      <c r="AF6" s="57">
        <f>AB6/AD6</f>
        <v>0.34093384629803997</v>
      </c>
      <c r="AG6" s="57">
        <f>AF6*SQRT((AC6/AB6)^2+(AE6/AD6)^2)</f>
        <v>1.1589122677442837E-2</v>
      </c>
      <c r="AH6" s="30">
        <v>1013.4950720242607</v>
      </c>
      <c r="AI6" s="30">
        <v>62.004456177585453</v>
      </c>
      <c r="AJ6" s="30">
        <v>124.14483564158182</v>
      </c>
      <c r="AK6" s="30">
        <v>4.5097159798973792</v>
      </c>
      <c r="AL6" s="30">
        <v>19.271012283800243</v>
      </c>
      <c r="AM6" s="30">
        <v>1.1384749153293006</v>
      </c>
      <c r="AN6" s="30">
        <v>14842.686589255045</v>
      </c>
      <c r="AO6" s="30">
        <v>1228.1521587648608</v>
      </c>
      <c r="AP6" s="30">
        <v>1648.9578543261248</v>
      </c>
      <c r="AQ6" s="77">
        <v>30.81636129507088</v>
      </c>
    </row>
    <row r="7" spans="1:43" x14ac:dyDescent="0.2">
      <c r="A7" s="19"/>
      <c r="B7" s="12"/>
      <c r="C7" s="12"/>
      <c r="D7" s="53" t="s">
        <v>207</v>
      </c>
      <c r="H7" s="80"/>
      <c r="I7" s="80"/>
      <c r="J7" s="80"/>
      <c r="K7" s="80"/>
      <c r="L7" s="80"/>
      <c r="M7" s="80"/>
      <c r="N7" s="3">
        <v>4326</v>
      </c>
      <c r="O7" s="30">
        <v>11</v>
      </c>
      <c r="Q7" s="55"/>
      <c r="S7" s="55"/>
      <c r="T7" s="56"/>
      <c r="U7" s="56"/>
      <c r="V7" s="70">
        <v>31.77958616023605</v>
      </c>
      <c r="W7" s="42">
        <v>4.0796923400223681</v>
      </c>
      <c r="X7" s="41">
        <v>5.4324078906386408E-2</v>
      </c>
      <c r="Y7" s="71">
        <v>5.4324078906386412E-3</v>
      </c>
      <c r="Z7" s="30">
        <v>1030</v>
      </c>
      <c r="AA7" s="30">
        <v>70</v>
      </c>
      <c r="AB7" s="76">
        <v>39.37819467919806</v>
      </c>
      <c r="AC7" s="30">
        <v>1.2453626514863092</v>
      </c>
      <c r="AD7" s="30">
        <v>95.989622015677398</v>
      </c>
      <c r="AE7" s="30">
        <v>2.6778476174321471</v>
      </c>
      <c r="AF7" s="57">
        <f t="shared" ref="AF7:AF8" si="0">AB7/AD7</f>
        <v>0.41023387583260468</v>
      </c>
      <c r="AG7" s="57">
        <f t="shared" ref="AG7:AG8" si="1">AF7*SQRT((AC7/AB7)^2+(AE7/AD7)^2)</f>
        <v>1.7300208008648288E-2</v>
      </c>
      <c r="AH7" s="30">
        <v>1351.9332827899923</v>
      </c>
      <c r="AI7" s="30">
        <v>88.616416001969398</v>
      </c>
      <c r="AJ7" s="30">
        <v>129.59118972134155</v>
      </c>
      <c r="AK7" s="30">
        <v>4.5813405085121595</v>
      </c>
      <c r="AL7" s="30">
        <v>4.3809692053593174</v>
      </c>
      <c r="AM7" s="30">
        <v>0.80682487878840226</v>
      </c>
      <c r="AN7" s="30">
        <v>14407.20434213754</v>
      </c>
      <c r="AO7" s="30">
        <v>1224.706859494876</v>
      </c>
      <c r="AP7" s="30">
        <v>2151.4615211204909</v>
      </c>
      <c r="AQ7" s="77">
        <v>35.205864514517216</v>
      </c>
    </row>
    <row r="8" spans="1:43" x14ac:dyDescent="0.2">
      <c r="A8" s="19"/>
      <c r="B8" s="12"/>
      <c r="C8" s="12"/>
      <c r="D8" s="53" t="s">
        <v>207</v>
      </c>
      <c r="H8" s="80"/>
      <c r="I8" s="80"/>
      <c r="J8" s="80"/>
      <c r="K8" s="80"/>
      <c r="L8" s="80"/>
      <c r="M8" s="80"/>
      <c r="N8" s="3">
        <v>4327</v>
      </c>
      <c r="O8" s="30">
        <v>13</v>
      </c>
      <c r="Q8" s="55"/>
      <c r="S8" s="55"/>
      <c r="T8" s="56"/>
      <c r="U8" s="56"/>
      <c r="V8" s="70">
        <v>29.307072111860773</v>
      </c>
      <c r="W8" s="42">
        <v>4.4912879309489604</v>
      </c>
      <c r="X8" s="41">
        <v>5.0097559165573971E-2</v>
      </c>
      <c r="Y8" s="71">
        <v>5.0097559165573971E-3</v>
      </c>
      <c r="Z8" s="30">
        <v>1043</v>
      </c>
      <c r="AA8" s="30">
        <v>70</v>
      </c>
      <c r="AB8" s="76">
        <v>48.778800543468222</v>
      </c>
      <c r="AC8" s="30">
        <v>0.97897167506230787</v>
      </c>
      <c r="AD8" s="30">
        <v>111.35995574461639</v>
      </c>
      <c r="AE8" s="30">
        <v>1.5293939418095392</v>
      </c>
      <c r="AF8" s="57">
        <f t="shared" si="0"/>
        <v>0.43802819619768391</v>
      </c>
      <c r="AG8" s="57">
        <f t="shared" si="1"/>
        <v>1.0652340506428938E-2</v>
      </c>
      <c r="AH8" s="30">
        <v>1236.3912054586806</v>
      </c>
      <c r="AI8" s="30">
        <v>89.893993799415767</v>
      </c>
      <c r="AJ8" s="30">
        <v>140.9644585349574</v>
      </c>
      <c r="AK8" s="30">
        <v>5.1566480056433592</v>
      </c>
      <c r="AL8" s="30">
        <v>4.13998500365408</v>
      </c>
      <c r="AM8" s="30">
        <v>0.64241422859051756</v>
      </c>
      <c r="AN8" s="30">
        <v>13826.561345980863</v>
      </c>
      <c r="AO8" s="30">
        <v>1143.8343676111742</v>
      </c>
      <c r="AP8" s="30">
        <v>1815.6496763667426</v>
      </c>
      <c r="AQ8" s="77">
        <v>32.326194398564368</v>
      </c>
    </row>
    <row r="9" spans="1:43" s="47" customFormat="1" x14ac:dyDescent="0.2">
      <c r="A9" s="60" t="s">
        <v>21</v>
      </c>
      <c r="B9" s="61" t="s">
        <v>23</v>
      </c>
      <c r="C9" s="61" t="s">
        <v>25</v>
      </c>
      <c r="D9" s="43">
        <v>6041</v>
      </c>
      <c r="E9" s="4">
        <v>489.9</v>
      </c>
      <c r="F9" s="46">
        <v>0.5323</v>
      </c>
      <c r="G9" s="46">
        <v>1.92E-3</v>
      </c>
      <c r="H9" s="46">
        <v>0.53139999999999998</v>
      </c>
      <c r="I9" s="46">
        <v>1.9220000000000001E-3</v>
      </c>
      <c r="J9" s="46">
        <v>64.209999999999994</v>
      </c>
      <c r="K9" s="46">
        <v>2.6160000000000001</v>
      </c>
      <c r="L9" s="46">
        <v>0.87629999999999997</v>
      </c>
      <c r="M9" s="46">
        <v>3.5400000000000001E-2</v>
      </c>
      <c r="N9" s="31">
        <v>4331</v>
      </c>
      <c r="O9" s="97">
        <v>5.3040000000000003</v>
      </c>
      <c r="P9" s="4">
        <v>4057</v>
      </c>
      <c r="Q9" s="44">
        <v>121.6</v>
      </c>
      <c r="R9" s="4">
        <v>4242</v>
      </c>
      <c r="S9" s="44">
        <v>40.74</v>
      </c>
      <c r="T9" s="45">
        <v>6.7537589351737815</v>
      </c>
      <c r="U9" s="102">
        <v>99.69</v>
      </c>
      <c r="V9" s="68">
        <v>22.356368283561054</v>
      </c>
      <c r="W9" s="45">
        <v>2.9188242887747853</v>
      </c>
      <c r="X9" s="46">
        <v>3.8216014159933427E-2</v>
      </c>
      <c r="Y9" s="69">
        <v>3.8216014159933426E-3</v>
      </c>
      <c r="Z9" s="62">
        <v>896</v>
      </c>
      <c r="AA9" s="62">
        <v>70</v>
      </c>
      <c r="AB9" s="74">
        <v>39.846613515833489</v>
      </c>
      <c r="AC9" s="44">
        <v>1.4638998646037413</v>
      </c>
      <c r="AD9" s="44">
        <v>121.43886667408574</v>
      </c>
      <c r="AE9" s="44">
        <v>2.8236105245099861</v>
      </c>
      <c r="AF9" s="45">
        <v>0.32812076238139409</v>
      </c>
      <c r="AG9" s="63">
        <f>AF9*SQRT((AC9/AB9)^2+(AE9/AD9)^2)</f>
        <v>1.4266013179450606E-2</v>
      </c>
      <c r="AH9" s="44">
        <v>825.98938589840782</v>
      </c>
      <c r="AI9" s="44">
        <v>63.126171096025665</v>
      </c>
      <c r="AJ9" s="44">
        <v>46.021691973969624</v>
      </c>
      <c r="AK9" s="44">
        <v>1.7292564826813148</v>
      </c>
      <c r="AL9" s="44">
        <v>286.32321657734468</v>
      </c>
      <c r="AM9" s="44">
        <v>50.309984830396743</v>
      </c>
      <c r="AN9" s="44">
        <v>15060.4277128138</v>
      </c>
      <c r="AO9" s="44">
        <v>1214.3235423214933</v>
      </c>
      <c r="AP9" s="44">
        <v>1323.3593294746322</v>
      </c>
      <c r="AQ9" s="75">
        <v>40.888466937608747</v>
      </c>
    </row>
    <row r="10" spans="1:43" x14ac:dyDescent="0.2">
      <c r="A10" s="19"/>
      <c r="B10" s="12"/>
      <c r="C10" s="12"/>
      <c r="H10" s="80"/>
      <c r="I10" s="80"/>
      <c r="J10" s="80"/>
      <c r="K10" s="80"/>
      <c r="L10" s="80"/>
      <c r="M10" s="80"/>
      <c r="N10" s="33"/>
      <c r="O10" s="98"/>
      <c r="Q10" s="55"/>
      <c r="S10" s="55"/>
      <c r="T10" s="56"/>
      <c r="U10" s="101"/>
      <c r="V10" s="70">
        <v>29.791200736717471</v>
      </c>
      <c r="W10" s="42">
        <v>5.4465573361400583</v>
      </c>
      <c r="X10" s="41">
        <v>5.0925129464474313E-2</v>
      </c>
      <c r="Y10" s="71">
        <v>5.0925129464474313E-3</v>
      </c>
      <c r="Z10" s="109">
        <v>848</v>
      </c>
      <c r="AA10" s="109">
        <v>70</v>
      </c>
      <c r="AB10" s="76">
        <v>83.199729021060321</v>
      </c>
      <c r="AC10" s="30">
        <v>2.0307437031554949</v>
      </c>
      <c r="AD10" s="30">
        <v>209.30402704029214</v>
      </c>
      <c r="AE10" s="30">
        <v>3.984565306720123</v>
      </c>
      <c r="AF10" s="42">
        <v>0.3975065850264024</v>
      </c>
      <c r="AG10" s="57">
        <f>AF10*SQRT((AC10/AB10)^2+(AE10/AD10)^2)</f>
        <v>1.2304538182381475E-2</v>
      </c>
      <c r="AH10" s="30">
        <v>866.20166793025021</v>
      </c>
      <c r="AI10" s="30">
        <v>63.277652002014641</v>
      </c>
      <c r="AJ10" s="30">
        <v>30.059068913732684</v>
      </c>
      <c r="AK10" s="30">
        <v>1.0727223703023492</v>
      </c>
      <c r="AL10" s="30">
        <v>7.1893620175395849</v>
      </c>
      <c r="AM10" s="30">
        <v>1.5571326737925177</v>
      </c>
      <c r="AN10" s="30">
        <v>22245.884790252672</v>
      </c>
      <c r="AO10" s="30">
        <v>1783.5407992778144</v>
      </c>
      <c r="AP10" s="30">
        <v>1406.3063320401031</v>
      </c>
      <c r="AQ10" s="77">
        <v>23.43438925524212</v>
      </c>
    </row>
    <row r="11" spans="1:43" x14ac:dyDescent="0.2">
      <c r="A11" s="19"/>
      <c r="B11" s="12" t="s">
        <v>22</v>
      </c>
      <c r="C11" s="12" t="s">
        <v>26</v>
      </c>
      <c r="D11" s="53" t="s">
        <v>208</v>
      </c>
      <c r="H11" s="80"/>
      <c r="I11" s="80"/>
      <c r="J11" s="80"/>
      <c r="K11" s="80"/>
      <c r="L11" s="80"/>
      <c r="M11" s="80"/>
      <c r="N11" s="3">
        <v>4229</v>
      </c>
      <c r="O11" s="30">
        <v>6</v>
      </c>
      <c r="Q11" s="55"/>
      <c r="S11" s="55"/>
      <c r="T11" s="56"/>
      <c r="U11" s="101"/>
      <c r="V11" s="70">
        <v>19.538048074573847</v>
      </c>
      <c r="W11" s="42">
        <v>6.7212588174291099</v>
      </c>
      <c r="X11" s="41">
        <v>3.3398372777049309E-2</v>
      </c>
      <c r="Y11" s="71">
        <v>3.3398372777049311E-3</v>
      </c>
      <c r="Z11" s="109">
        <v>892</v>
      </c>
      <c r="AA11" s="109">
        <v>70</v>
      </c>
      <c r="AB11" s="76">
        <v>29.101038094199911</v>
      </c>
      <c r="AC11" s="30">
        <v>2.4129732839650448</v>
      </c>
      <c r="AD11" s="30">
        <v>75.277649265573785</v>
      </c>
      <c r="AE11" s="30">
        <v>4.9287474613153206</v>
      </c>
      <c r="AF11" s="42">
        <v>0.38658271582755827</v>
      </c>
      <c r="AG11" s="57">
        <f t="shared" ref="AG11:AG30" si="2">AF11*SQRT((AC11/AB11)^2+(AE11/AD11)^2)</f>
        <v>4.0842825821990898E-2</v>
      </c>
      <c r="AH11" s="30">
        <v>889.1281273692191</v>
      </c>
      <c r="AI11" s="30">
        <v>51.217268759898253</v>
      </c>
      <c r="AJ11" s="30">
        <v>44.628066077089926</v>
      </c>
      <c r="AK11" s="30">
        <v>12.866073762108533</v>
      </c>
      <c r="AL11" s="30">
        <v>65.861291280146162</v>
      </c>
      <c r="AM11" s="30">
        <v>20.36169919108297</v>
      </c>
      <c r="AN11" s="30">
        <v>15096.717900073592</v>
      </c>
      <c r="AO11" s="30">
        <v>1204.2136988176317</v>
      </c>
      <c r="AP11" s="30">
        <v>1854.0390040738089</v>
      </c>
      <c r="AQ11" s="77">
        <v>65.014181631618797</v>
      </c>
    </row>
    <row r="12" spans="1:43" x14ac:dyDescent="0.2">
      <c r="A12" s="19"/>
      <c r="B12" s="12"/>
      <c r="C12" s="12"/>
      <c r="D12" s="53" t="s">
        <v>208</v>
      </c>
      <c r="H12" s="80"/>
      <c r="I12" s="80"/>
      <c r="J12" s="80"/>
      <c r="K12" s="80"/>
      <c r="L12" s="80"/>
      <c r="M12" s="80"/>
      <c r="N12" s="3">
        <v>4259</v>
      </c>
      <c r="O12" s="30">
        <v>4</v>
      </c>
      <c r="Q12" s="55"/>
      <c r="S12" s="55"/>
      <c r="T12" s="56"/>
      <c r="U12" s="101"/>
      <c r="V12" s="70">
        <v>3.8194290439587286</v>
      </c>
      <c r="W12" s="42">
        <v>0.72597440400842994</v>
      </c>
      <c r="X12" s="41">
        <v>6.5289385366815878E-3</v>
      </c>
      <c r="Y12" s="71">
        <v>6.5289385366815872E-4</v>
      </c>
      <c r="Z12" s="109">
        <v>790</v>
      </c>
      <c r="AA12" s="109">
        <v>70</v>
      </c>
      <c r="AB12" s="76">
        <v>30.68672718553762</v>
      </c>
      <c r="AC12" s="30">
        <v>1.5575143323256648</v>
      </c>
      <c r="AD12" s="30">
        <v>86.081004749760254</v>
      </c>
      <c r="AE12" s="30">
        <v>5.0621565507434916</v>
      </c>
      <c r="AF12" s="42">
        <v>0.35648662878348997</v>
      </c>
      <c r="AG12" s="57">
        <f t="shared" si="2"/>
        <v>2.7692271061747434E-2</v>
      </c>
      <c r="AH12" s="30">
        <v>1002.5777103866565</v>
      </c>
      <c r="AI12" s="30">
        <v>80.353398437604454</v>
      </c>
      <c r="AJ12" s="30">
        <v>16.291006173869508</v>
      </c>
      <c r="AK12" s="30">
        <v>3.1873079778985698</v>
      </c>
      <c r="AL12" s="30">
        <v>39.407096060901338</v>
      </c>
      <c r="AM12" s="30">
        <v>5.8239884966044464</v>
      </c>
      <c r="AN12" s="30">
        <v>14116.882844059201</v>
      </c>
      <c r="AO12" s="30">
        <v>1223.9664090529873</v>
      </c>
      <c r="AP12" s="30">
        <v>1757.9518453650217</v>
      </c>
      <c r="AQ12" s="77">
        <v>43.012211557542898</v>
      </c>
    </row>
    <row r="13" spans="1:43" x14ac:dyDescent="0.2">
      <c r="A13" s="19"/>
      <c r="B13" s="12"/>
      <c r="C13" s="12"/>
      <c r="D13" s="53" t="s">
        <v>208</v>
      </c>
      <c r="H13" s="80"/>
      <c r="I13" s="80"/>
      <c r="J13" s="80"/>
      <c r="K13" s="80"/>
      <c r="L13" s="80"/>
      <c r="M13" s="80"/>
      <c r="N13" s="33">
        <v>4284</v>
      </c>
      <c r="O13" s="98">
        <v>4</v>
      </c>
      <c r="Q13" s="55"/>
      <c r="S13" s="55"/>
      <c r="T13" s="56"/>
      <c r="U13" s="101"/>
      <c r="V13" s="70">
        <v>10.751113533424796</v>
      </c>
      <c r="W13" s="42">
        <v>1.4384194730715034</v>
      </c>
      <c r="X13" s="41">
        <v>1.83779718520082E-2</v>
      </c>
      <c r="Y13" s="71">
        <v>1.8377971852008201E-3</v>
      </c>
      <c r="Z13" s="109">
        <v>829</v>
      </c>
      <c r="AA13" s="109">
        <v>70</v>
      </c>
      <c r="AB13" s="76">
        <v>18.271857209578684</v>
      </c>
      <c r="AC13" s="30">
        <v>0.91383794975032862</v>
      </c>
      <c r="AD13" s="30">
        <v>56.141217676719954</v>
      </c>
      <c r="AE13" s="30">
        <v>2.3709371518016362</v>
      </c>
      <c r="AF13" s="42">
        <v>0.32546243144910381</v>
      </c>
      <c r="AG13" s="57">
        <f t="shared" si="2"/>
        <v>2.1304381801557873E-2</v>
      </c>
      <c r="AH13" s="30">
        <v>662.31993934799084</v>
      </c>
      <c r="AI13" s="30">
        <v>45.384304089373479</v>
      </c>
      <c r="AJ13" s="30">
        <v>25.021191389954939</v>
      </c>
      <c r="AK13" s="30">
        <v>1.6279813975333421</v>
      </c>
      <c r="AL13" s="30">
        <v>74.033127350791716</v>
      </c>
      <c r="AM13" s="30">
        <v>5.5558708341976946</v>
      </c>
      <c r="AN13" s="30">
        <v>15024.137525554008</v>
      </c>
      <c r="AO13" s="30">
        <v>1235.5434937748964</v>
      </c>
      <c r="AP13" s="30">
        <v>1129.2907096323818</v>
      </c>
      <c r="AQ13" s="77">
        <v>34.197185694520762</v>
      </c>
    </row>
    <row r="14" spans="1:43" x14ac:dyDescent="0.2">
      <c r="A14" s="19"/>
      <c r="B14" s="12"/>
      <c r="C14" s="12"/>
      <c r="D14" s="53" t="s">
        <v>209</v>
      </c>
      <c r="H14" s="80"/>
      <c r="I14" s="80"/>
      <c r="J14" s="80"/>
      <c r="K14" s="80"/>
      <c r="L14" s="80"/>
      <c r="M14" s="80"/>
      <c r="N14" s="3">
        <v>4298</v>
      </c>
      <c r="O14" s="30">
        <v>4</v>
      </c>
      <c r="Q14" s="55"/>
      <c r="S14" s="55"/>
      <c r="T14" s="56"/>
      <c r="U14" s="101"/>
      <c r="V14" s="70">
        <v>7.9189610780131181</v>
      </c>
      <c r="W14" s="42">
        <v>1.3866356168164542</v>
      </c>
      <c r="X14" s="41">
        <v>1.3536685603441227E-2</v>
      </c>
      <c r="Y14" s="71">
        <v>1.3536685603441228E-3</v>
      </c>
      <c r="Z14" s="109">
        <v>931</v>
      </c>
      <c r="AA14" s="109">
        <v>70</v>
      </c>
      <c r="AB14" s="76">
        <v>45.03773392902287</v>
      </c>
      <c r="AC14" s="30">
        <v>2.0257651380787376</v>
      </c>
      <c r="AD14" s="30">
        <v>97.279604946782825</v>
      </c>
      <c r="AE14" s="30">
        <v>3.1206521996075907</v>
      </c>
      <c r="AF14" s="42">
        <v>0.4629720068627019</v>
      </c>
      <c r="AG14" s="57">
        <f t="shared" si="2"/>
        <v>2.5577732648909317E-2</v>
      </c>
      <c r="AH14" s="30">
        <v>1061.7134192570129</v>
      </c>
      <c r="AI14" s="30">
        <v>81.090464369687169</v>
      </c>
      <c r="AJ14" s="30">
        <v>61.904221591857151</v>
      </c>
      <c r="AK14" s="30">
        <v>6.513340195939108</v>
      </c>
      <c r="AL14" s="30">
        <v>77.470241766138841</v>
      </c>
      <c r="AM14" s="30">
        <v>36.182377458826281</v>
      </c>
      <c r="AN14" s="30">
        <v>15205.588461852969</v>
      </c>
      <c r="AO14" s="30">
        <v>1213.513590502077</v>
      </c>
      <c r="AP14" s="30">
        <v>2183.4661126559063</v>
      </c>
      <c r="AQ14" s="77">
        <v>44.434592371077457</v>
      </c>
    </row>
    <row r="15" spans="1:43" x14ac:dyDescent="0.2">
      <c r="A15" s="19"/>
      <c r="B15" s="12"/>
      <c r="C15" s="12"/>
      <c r="D15" s="53" t="s">
        <v>208</v>
      </c>
      <c r="H15" s="80"/>
      <c r="I15" s="80"/>
      <c r="J15" s="80"/>
      <c r="K15" s="80"/>
      <c r="L15" s="80"/>
      <c r="M15" s="80"/>
      <c r="N15" s="3">
        <v>4306</v>
      </c>
      <c r="O15" s="30">
        <v>3</v>
      </c>
      <c r="Q15" s="55"/>
      <c r="S15" s="55"/>
      <c r="T15" s="56"/>
      <c r="U15" s="101"/>
      <c r="V15" s="70">
        <v>26.315848822567609</v>
      </c>
      <c r="W15" s="42">
        <v>6.0680436631720003</v>
      </c>
      <c r="X15" s="41">
        <v>4.498435696165403E-2</v>
      </c>
      <c r="Y15" s="71">
        <v>4.4984356961654034E-3</v>
      </c>
      <c r="Z15" s="109">
        <v>917</v>
      </c>
      <c r="AA15" s="109">
        <v>70</v>
      </c>
      <c r="AB15" s="76">
        <v>55.759351636317227</v>
      </c>
      <c r="AC15" s="30">
        <v>3.7817133333280477</v>
      </c>
      <c r="AD15" s="30">
        <v>126.01718927590693</v>
      </c>
      <c r="AE15" s="30">
        <v>5.5967723373962039</v>
      </c>
      <c r="AF15" s="42">
        <v>0.44247417321961957</v>
      </c>
      <c r="AG15" s="57">
        <f t="shared" si="2"/>
        <v>3.5871324298997913E-2</v>
      </c>
      <c r="AH15" s="30">
        <v>1266.4139499620924</v>
      </c>
      <c r="AI15" s="30">
        <v>71.80811456977338</v>
      </c>
      <c r="AJ15" s="30">
        <v>55.184381778741852</v>
      </c>
      <c r="AK15" s="30">
        <v>2.1579727209860859</v>
      </c>
      <c r="AL15" s="30">
        <v>221.75180868453103</v>
      </c>
      <c r="AM15" s="30">
        <v>114.28584065112072</v>
      </c>
      <c r="AN15" s="30">
        <v>16185.423517867361</v>
      </c>
      <c r="AO15" s="30">
        <v>1299.1212648407231</v>
      </c>
      <c r="AP15" s="30">
        <v>2403.8917036244875</v>
      </c>
      <c r="AQ15" s="77">
        <v>89.91591206160669</v>
      </c>
    </row>
    <row r="16" spans="1:43" x14ac:dyDescent="0.2">
      <c r="A16" s="19"/>
      <c r="B16" s="12"/>
      <c r="C16" s="12"/>
      <c r="D16" s="48">
        <v>858.8</v>
      </c>
      <c r="E16" s="3">
        <v>71.86</v>
      </c>
      <c r="F16" s="41">
        <v>0.53310000000000002</v>
      </c>
      <c r="G16" s="41">
        <v>3.1229999999999999E-3</v>
      </c>
      <c r="H16" s="41">
        <v>0.52580000000000005</v>
      </c>
      <c r="I16" s="41">
        <v>3.2669999999999999E-3</v>
      </c>
      <c r="J16" s="41">
        <v>66.84</v>
      </c>
      <c r="K16" s="41">
        <v>2.5590000000000002</v>
      </c>
      <c r="L16" s="41">
        <v>0.92200000000000004</v>
      </c>
      <c r="M16" s="41">
        <v>3.4840000000000003E-2</v>
      </c>
      <c r="N16" s="3">
        <v>4315</v>
      </c>
      <c r="O16" s="30">
        <v>9.1210000000000004</v>
      </c>
      <c r="P16" s="3">
        <v>4212</v>
      </c>
      <c r="Q16" s="30">
        <v>116.9</v>
      </c>
      <c r="R16" s="3">
        <v>4282</v>
      </c>
      <c r="S16" s="30">
        <v>38.299999999999997</v>
      </c>
      <c r="T16" s="42">
        <v>2.4453941120607725</v>
      </c>
      <c r="U16" s="78">
        <v>97.8</v>
      </c>
      <c r="V16" s="70">
        <v>7.8100321374203601</v>
      </c>
      <c r="W16" s="42">
        <v>1.0646324412646919</v>
      </c>
      <c r="X16" s="41">
        <v>1.3350482286188649E-2</v>
      </c>
      <c r="Y16" s="71">
        <v>1.3350482286188651E-3</v>
      </c>
      <c r="Z16" s="109">
        <v>898</v>
      </c>
      <c r="AA16" s="109">
        <v>70</v>
      </c>
      <c r="AB16" s="76">
        <v>15.194163087456946</v>
      </c>
      <c r="AC16" s="30">
        <v>0.9039941580809091</v>
      </c>
      <c r="AD16" s="30">
        <v>47.050589357196301</v>
      </c>
      <c r="AE16" s="30">
        <v>1.912795757752366</v>
      </c>
      <c r="AF16" s="42">
        <v>0.32293247109205503</v>
      </c>
      <c r="AG16" s="57">
        <f t="shared" si="2"/>
        <v>2.3270284195757249E-2</v>
      </c>
      <c r="AH16" s="30">
        <v>610.64442759666406</v>
      </c>
      <c r="AI16" s="30">
        <v>35.209019033334222</v>
      </c>
      <c r="AJ16" s="30">
        <v>46.934757216752871</v>
      </c>
      <c r="AK16" s="30">
        <v>5.4992711222501205</v>
      </c>
      <c r="AL16" s="30">
        <v>48.66027149817296</v>
      </c>
      <c r="AM16" s="30">
        <v>8.3362469875099716</v>
      </c>
      <c r="AN16" s="30">
        <v>14951.557151034425</v>
      </c>
      <c r="AO16" s="30">
        <v>1276.7068639957322</v>
      </c>
      <c r="AP16" s="30">
        <v>1041.8730184854862</v>
      </c>
      <c r="AQ16" s="77">
        <v>26.347691908290745</v>
      </c>
    </row>
    <row r="17" spans="1:43" x14ac:dyDescent="0.2">
      <c r="A17" s="19"/>
      <c r="B17" s="12"/>
      <c r="C17" s="12"/>
      <c r="D17" s="53" t="s">
        <v>208</v>
      </c>
      <c r="N17" s="3">
        <v>4318</v>
      </c>
      <c r="O17" s="30">
        <v>4</v>
      </c>
      <c r="Q17" s="55"/>
      <c r="S17" s="55"/>
      <c r="T17" s="56"/>
      <c r="U17" s="101"/>
      <c r="V17" s="70">
        <v>3.43731323648255</v>
      </c>
      <c r="W17" s="42">
        <v>0.4921362548945904</v>
      </c>
      <c r="X17" s="41">
        <v>5.8757491221923929E-3</v>
      </c>
      <c r="Y17" s="71">
        <v>5.8757491221923938E-4</v>
      </c>
      <c r="Z17" s="109">
        <v>842</v>
      </c>
      <c r="AA17" s="109">
        <v>70</v>
      </c>
      <c r="AB17" s="76">
        <v>21.845729801011405</v>
      </c>
      <c r="AC17" s="30">
        <v>1.0013027458794292</v>
      </c>
      <c r="AD17" s="30">
        <v>65.47887409317903</v>
      </c>
      <c r="AE17" s="30">
        <v>2.1780557197924244</v>
      </c>
      <c r="AF17" s="42">
        <v>0.33363019910702901</v>
      </c>
      <c r="AG17" s="57">
        <f t="shared" si="2"/>
        <v>1.8894554939143146E-2</v>
      </c>
      <c r="AH17" s="30">
        <v>754.75360121304016</v>
      </c>
      <c r="AI17" s="30">
        <v>46.483159808181789</v>
      </c>
      <c r="AJ17" s="30">
        <v>28.433172034039707</v>
      </c>
      <c r="AK17" s="30">
        <v>2.6313956608076334</v>
      </c>
      <c r="AL17" s="30">
        <v>13.856591598051155</v>
      </c>
      <c r="AM17" s="30">
        <v>1.2149488134352091</v>
      </c>
      <c r="AN17" s="30">
        <v>14733.81602747567</v>
      </c>
      <c r="AO17" s="30">
        <v>1268.8738278372559</v>
      </c>
      <c r="AP17" s="30">
        <v>1428.4871039098261</v>
      </c>
      <c r="AQ17" s="77">
        <v>38.540868483257384</v>
      </c>
    </row>
    <row r="18" spans="1:43" x14ac:dyDescent="0.2">
      <c r="A18" s="19"/>
      <c r="B18" s="12"/>
      <c r="C18" s="12"/>
      <c r="D18" s="53" t="s">
        <v>208</v>
      </c>
      <c r="N18" s="3">
        <v>4321</v>
      </c>
      <c r="O18" s="30">
        <v>4</v>
      </c>
      <c r="Q18" s="55"/>
      <c r="S18" s="55"/>
      <c r="T18" s="56"/>
      <c r="U18" s="101"/>
      <c r="V18" s="70">
        <v>4.5473510120468337</v>
      </c>
      <c r="W18" s="42">
        <v>0.65034422660706181</v>
      </c>
      <c r="X18" s="41">
        <v>7.7732495932424511E-3</v>
      </c>
      <c r="Y18" s="71">
        <v>7.7732495932424507E-4</v>
      </c>
      <c r="Z18" s="109">
        <v>838</v>
      </c>
      <c r="AA18" s="109">
        <v>70</v>
      </c>
      <c r="AB18" s="76">
        <v>18.09836825521143</v>
      </c>
      <c r="AC18" s="30">
        <v>0.92884775820657106</v>
      </c>
      <c r="AD18" s="30">
        <v>55.021357675584447</v>
      </c>
      <c r="AE18" s="30">
        <v>1.8706874555150299</v>
      </c>
      <c r="AF18" s="42">
        <v>0.32893350909155272</v>
      </c>
      <c r="AG18" s="57">
        <f t="shared" si="2"/>
        <v>2.0249908171263705E-2</v>
      </c>
      <c r="AH18" s="30">
        <v>704.62471569370734</v>
      </c>
      <c r="AI18" s="30">
        <v>41.739080746728789</v>
      </c>
      <c r="AJ18" s="30">
        <v>27.496078758551636</v>
      </c>
      <c r="AK18" s="30">
        <v>2.5599955090746414</v>
      </c>
      <c r="AL18" s="30">
        <v>17.996576601705236</v>
      </c>
      <c r="AM18" s="30">
        <v>2.3218527681175876</v>
      </c>
      <c r="AN18" s="30">
        <v>14842.686589255045</v>
      </c>
      <c r="AO18" s="30">
        <v>1225.7263095462552</v>
      </c>
      <c r="AP18" s="30">
        <v>1244.0247538017034</v>
      </c>
      <c r="AQ18" s="77">
        <v>38.796963893481745</v>
      </c>
    </row>
    <row r="19" spans="1:43" x14ac:dyDescent="0.2">
      <c r="A19" s="19"/>
      <c r="B19" s="12"/>
      <c r="C19" s="12"/>
      <c r="D19" s="53" t="s">
        <v>208</v>
      </c>
      <c r="N19" s="3">
        <v>4324</v>
      </c>
      <c r="O19" s="30">
        <v>4</v>
      </c>
      <c r="Q19" s="55"/>
      <c r="S19" s="55"/>
      <c r="T19" s="56"/>
      <c r="U19" s="101"/>
      <c r="V19" s="70">
        <v>5.4308857524103065</v>
      </c>
      <c r="W19" s="42">
        <v>1.2559001589030649</v>
      </c>
      <c r="X19" s="41">
        <v>9.2835653887355669E-3</v>
      </c>
      <c r="Y19" s="71">
        <v>9.2835653887355664E-4</v>
      </c>
      <c r="Z19" s="109">
        <v>899</v>
      </c>
      <c r="AA19" s="109">
        <v>70</v>
      </c>
      <c r="AB19" s="76">
        <v>28.868562888248867</v>
      </c>
      <c r="AC19" s="30">
        <v>1.9205621014668279</v>
      </c>
      <c r="AD19" s="30">
        <v>75.343523384379793</v>
      </c>
      <c r="AE19" s="30">
        <v>3.3530744283645011</v>
      </c>
      <c r="AF19" s="42">
        <v>0.38315918331785759</v>
      </c>
      <c r="AG19" s="57">
        <f t="shared" si="2"/>
        <v>3.066838877909385E-2</v>
      </c>
      <c r="AH19" s="30">
        <v>863.10841546626227</v>
      </c>
      <c r="AI19" s="30">
        <v>53.896199613822773</v>
      </c>
      <c r="AJ19" s="30">
        <v>47.42332721508425</v>
      </c>
      <c r="AK19" s="30">
        <v>9.037610682027081</v>
      </c>
      <c r="AL19" s="30">
        <v>56.932517652862359</v>
      </c>
      <c r="AM19" s="30">
        <v>8.6557643133730657</v>
      </c>
      <c r="AN19" s="30">
        <v>15060.4277128138</v>
      </c>
      <c r="AO19" s="30">
        <v>1355.45503693611</v>
      </c>
      <c r="AP19" s="30">
        <v>1741.2390090281663</v>
      </c>
      <c r="AQ19" s="77">
        <v>52.701372403653231</v>
      </c>
    </row>
    <row r="20" spans="1:43" x14ac:dyDescent="0.2">
      <c r="A20" s="19"/>
      <c r="B20" s="12"/>
      <c r="C20" s="12"/>
      <c r="D20" s="53" t="s">
        <v>208</v>
      </c>
      <c r="N20" s="3">
        <v>4325</v>
      </c>
      <c r="O20" s="30">
        <v>4</v>
      </c>
      <c r="Q20" s="55"/>
      <c r="S20" s="55"/>
      <c r="T20" s="56"/>
      <c r="U20" s="101"/>
      <c r="V20" s="70">
        <v>5.427427690804187</v>
      </c>
      <c r="W20" s="42">
        <v>0.85535713145903136</v>
      </c>
      <c r="X20" s="41">
        <v>9.2776541723148497E-3</v>
      </c>
      <c r="Y20" s="71">
        <v>9.2776541723148503E-4</v>
      </c>
      <c r="Z20" s="109">
        <v>864</v>
      </c>
      <c r="AA20" s="109">
        <v>70</v>
      </c>
      <c r="AB20" s="76">
        <v>44.482569203721738</v>
      </c>
      <c r="AC20" s="30">
        <v>4.2169290502134711</v>
      </c>
      <c r="AD20" s="30">
        <v>100.57331075146047</v>
      </c>
      <c r="AE20" s="30">
        <v>5.0729035567904965</v>
      </c>
      <c r="AF20" s="42">
        <v>0.44228999593787149</v>
      </c>
      <c r="AG20" s="57">
        <f t="shared" si="2"/>
        <v>4.7494491984835588E-2</v>
      </c>
      <c r="AH20" s="30">
        <v>1182.7141774071265</v>
      </c>
      <c r="AI20" s="30">
        <v>113.7966280295845</v>
      </c>
      <c r="AJ20" s="30">
        <v>35.49741364925746</v>
      </c>
      <c r="AK20" s="30">
        <v>2.1101129231214104</v>
      </c>
      <c r="AL20" s="30">
        <v>506.22130063337391</v>
      </c>
      <c r="AM20" s="30">
        <v>118.42691580916829</v>
      </c>
      <c r="AN20" s="30">
        <v>16729.776326764244</v>
      </c>
      <c r="AO20" s="30">
        <v>1443.5851967408601</v>
      </c>
      <c r="AP20" s="30">
        <v>2284.6524047412017</v>
      </c>
      <c r="AQ20" s="77">
        <v>106.14010319310748</v>
      </c>
    </row>
    <row r="21" spans="1:43" x14ac:dyDescent="0.2">
      <c r="A21" s="19"/>
      <c r="B21" s="12"/>
      <c r="C21" s="12"/>
      <c r="D21" s="53" t="s">
        <v>209</v>
      </c>
      <c r="N21" s="3">
        <v>4338</v>
      </c>
      <c r="O21" s="30">
        <v>4</v>
      </c>
      <c r="Q21" s="55"/>
      <c r="S21" s="55"/>
      <c r="T21" s="56"/>
      <c r="U21" s="101"/>
      <c r="V21" s="70">
        <v>38.263451671709674</v>
      </c>
      <c r="W21" s="42">
        <v>6.975695902937713</v>
      </c>
      <c r="X21" s="41">
        <v>6.6000000000000003E-2</v>
      </c>
      <c r="Y21" s="71">
        <v>7.0000000000000001E-3</v>
      </c>
      <c r="Z21" s="109">
        <v>931</v>
      </c>
      <c r="AA21" s="109">
        <v>70</v>
      </c>
      <c r="AB21" s="76">
        <v>31.5</v>
      </c>
      <c r="AC21" s="30">
        <v>1.7624851239718784</v>
      </c>
      <c r="AD21" s="30">
        <v>84.8</v>
      </c>
      <c r="AE21" s="30">
        <v>4.3152446174663606</v>
      </c>
      <c r="AF21" s="42">
        <f>AB21/AD21</f>
        <v>0.37146226415094341</v>
      </c>
      <c r="AG21" s="57">
        <f t="shared" si="2"/>
        <v>2.8094276445499836E-2</v>
      </c>
      <c r="AH21" s="30">
        <v>937.98332069749802</v>
      </c>
      <c r="AI21" s="30">
        <v>58.346229819164286</v>
      </c>
      <c r="AJ21" s="30">
        <v>61.792090772567988</v>
      </c>
      <c r="AK21" s="30">
        <v>5.1451682424447789</v>
      </c>
      <c r="AL21" s="30">
        <v>416.31565615103528</v>
      </c>
      <c r="AM21" s="30">
        <v>64.759890828205783</v>
      </c>
      <c r="AN21" s="30">
        <v>14987.847338294217</v>
      </c>
      <c r="AO21" s="30">
        <v>1294.5351287329408</v>
      </c>
      <c r="AP21" s="30">
        <v>1592.5493894068568</v>
      </c>
      <c r="AQ21" s="77">
        <v>32.600168954608115</v>
      </c>
    </row>
    <row r="22" spans="1:43" x14ac:dyDescent="0.2">
      <c r="A22" s="19"/>
      <c r="B22" s="12"/>
      <c r="C22" s="12"/>
      <c r="D22" s="53" t="s">
        <v>208</v>
      </c>
      <c r="N22" s="3">
        <v>4339</v>
      </c>
      <c r="O22" s="30">
        <v>3</v>
      </c>
      <c r="Q22" s="55"/>
      <c r="S22" s="55"/>
      <c r="T22" s="56"/>
      <c r="U22" s="101"/>
      <c r="V22" s="70">
        <v>3.1502941231746511</v>
      </c>
      <c r="W22" s="42">
        <v>0.41481528953314151</v>
      </c>
      <c r="X22" s="41">
        <v>5.3851181592729077E-3</v>
      </c>
      <c r="Y22" s="71">
        <v>5.3851181592729077E-4</v>
      </c>
      <c r="Z22" s="109">
        <v>862</v>
      </c>
      <c r="AA22" s="109">
        <v>70</v>
      </c>
      <c r="AB22" s="76">
        <v>25.235704072864664</v>
      </c>
      <c r="AC22" s="30">
        <v>1.3251138192018606</v>
      </c>
      <c r="AD22" s="30">
        <v>68.821985622584293</v>
      </c>
      <c r="AE22" s="30">
        <v>3.1109603984516019</v>
      </c>
      <c r="AF22" s="42">
        <v>0.36668084834482656</v>
      </c>
      <c r="AG22" s="57">
        <f t="shared" si="2"/>
        <v>2.5405869489604271E-2</v>
      </c>
      <c r="AH22" s="30">
        <v>826.80818802122815</v>
      </c>
      <c r="AI22" s="30">
        <v>54.831869624489649</v>
      </c>
      <c r="AJ22" s="30">
        <v>34.127815785082589</v>
      </c>
      <c r="AK22" s="30">
        <v>3.7563646287390613</v>
      </c>
      <c r="AL22" s="30">
        <v>36.286659602923258</v>
      </c>
      <c r="AM22" s="30">
        <v>7.1189953522818969</v>
      </c>
      <c r="AN22" s="30">
        <v>15096.717900073592</v>
      </c>
      <c r="AO22" s="30">
        <v>1201.7754727866968</v>
      </c>
      <c r="AP22" s="30">
        <v>1605.3621395542211</v>
      </c>
      <c r="AQ22" s="77">
        <v>34.538760391255877</v>
      </c>
    </row>
    <row r="23" spans="1:43" x14ac:dyDescent="0.2">
      <c r="A23" s="19"/>
      <c r="B23" s="12"/>
      <c r="C23" s="12"/>
      <c r="N23" s="3"/>
      <c r="O23" s="30"/>
      <c r="Q23" s="55"/>
      <c r="S23" s="55"/>
      <c r="T23" s="56"/>
      <c r="U23" s="101"/>
      <c r="V23" s="70">
        <v>3.4995583453926962</v>
      </c>
      <c r="W23" s="42">
        <v>0.47171621539870046</v>
      </c>
      <c r="X23" s="41">
        <v>5.9821510177652925E-3</v>
      </c>
      <c r="Y23" s="71">
        <v>5.9821510177652929E-4</v>
      </c>
      <c r="Z23" s="109">
        <v>825</v>
      </c>
      <c r="AA23" s="109">
        <v>70</v>
      </c>
      <c r="AB23" s="76">
        <v>20.069202854042246</v>
      </c>
      <c r="AC23" s="30">
        <v>1.1174901652436433</v>
      </c>
      <c r="AD23" s="30">
        <v>58.545623088845929</v>
      </c>
      <c r="AE23" s="30">
        <v>2.5669964420159035</v>
      </c>
      <c r="AF23" s="42">
        <v>0.34279595630208293</v>
      </c>
      <c r="AG23" s="57">
        <f t="shared" si="2"/>
        <v>2.4294892170111382E-2</v>
      </c>
      <c r="AH23" s="30">
        <v>760.84912812736911</v>
      </c>
      <c r="AI23" s="30">
        <v>42.052479436408227</v>
      </c>
      <c r="AJ23" s="30">
        <v>24.300350408810274</v>
      </c>
      <c r="AK23" s="30">
        <v>1.6041464418989986</v>
      </c>
      <c r="AL23" s="30">
        <v>47.277701879415339</v>
      </c>
      <c r="AM23" s="30">
        <v>9.1195292712945726</v>
      </c>
      <c r="AN23" s="30">
        <v>17673.321195518845</v>
      </c>
      <c r="AO23" s="30">
        <v>1650.9330568746179</v>
      </c>
      <c r="AP23" s="30">
        <v>1277.7185486034107</v>
      </c>
      <c r="AQ23" s="77">
        <v>63.234054361973165</v>
      </c>
    </row>
    <row r="24" spans="1:43" x14ac:dyDescent="0.2">
      <c r="A24" s="19"/>
      <c r="B24" s="12"/>
      <c r="C24" s="12"/>
      <c r="N24" s="3"/>
      <c r="O24" s="30"/>
      <c r="Q24" s="55"/>
      <c r="S24" s="55"/>
      <c r="T24" s="56"/>
      <c r="U24" s="101"/>
      <c r="V24" s="70">
        <v>3.2695972485857654</v>
      </c>
      <c r="W24" s="42">
        <v>0.4115155196671616</v>
      </c>
      <c r="X24" s="41">
        <v>5.5890551257876328E-3</v>
      </c>
      <c r="Y24" s="71">
        <v>5.5890551257876324E-4</v>
      </c>
      <c r="Z24" s="109">
        <v>801</v>
      </c>
      <c r="AA24" s="109">
        <v>70</v>
      </c>
      <c r="AB24" s="76">
        <v>35.148863228120312</v>
      </c>
      <c r="AC24" s="30">
        <v>2.2458980255899603</v>
      </c>
      <c r="AD24" s="30">
        <v>83.446039997519648</v>
      </c>
      <c r="AE24" s="30">
        <v>4.4338174850847007</v>
      </c>
      <c r="AF24" s="42">
        <v>0.42121667162594029</v>
      </c>
      <c r="AG24" s="57">
        <f t="shared" si="2"/>
        <v>3.500412078081222E-2</v>
      </c>
      <c r="AH24" s="30">
        <v>1069.901440485216</v>
      </c>
      <c r="AI24" s="30">
        <v>70.66798603456445</v>
      </c>
      <c r="AJ24" s="30">
        <v>19.062239279159012</v>
      </c>
      <c r="AK24" s="30">
        <v>2.7217927029901996</v>
      </c>
      <c r="AL24" s="30">
        <v>14.659872270401948</v>
      </c>
      <c r="AM24" s="30">
        <v>6.2340708286403599</v>
      </c>
      <c r="AN24" s="30">
        <v>18399.12494071469</v>
      </c>
      <c r="AO24" s="30">
        <v>1475.352703437904</v>
      </c>
      <c r="AP24" s="30">
        <v>1947.4420585730172</v>
      </c>
      <c r="AQ24" s="77">
        <v>52.497269101641301</v>
      </c>
    </row>
    <row r="25" spans="1:43" x14ac:dyDescent="0.2">
      <c r="A25" s="19"/>
      <c r="B25" s="12" t="s">
        <v>24</v>
      </c>
      <c r="C25" s="12" t="s">
        <v>27</v>
      </c>
      <c r="D25" s="48">
        <v>1685</v>
      </c>
      <c r="E25" s="3">
        <v>204.5</v>
      </c>
      <c r="F25" s="41">
        <v>0.55549999999999999</v>
      </c>
      <c r="G25" s="41">
        <v>3.6800000000000001E-3</v>
      </c>
      <c r="H25" s="41">
        <v>0.55249999999999999</v>
      </c>
      <c r="I25" s="41">
        <v>3.5820000000000001E-3</v>
      </c>
      <c r="J25" s="41">
        <v>75.5</v>
      </c>
      <c r="K25" s="41">
        <v>3.298</v>
      </c>
      <c r="L25" s="41">
        <v>0.99109999999999998</v>
      </c>
      <c r="M25" s="41">
        <v>4.0800000000000003E-2</v>
      </c>
      <c r="N25" s="33">
        <v>4388</v>
      </c>
      <c r="O25" s="34">
        <v>9.4779999999999998</v>
      </c>
      <c r="P25" s="3">
        <v>4440</v>
      </c>
      <c r="Q25" s="30">
        <v>132.1</v>
      </c>
      <c r="R25" s="3">
        <v>4404</v>
      </c>
      <c r="S25" s="30">
        <v>43.77</v>
      </c>
      <c r="T25" s="42">
        <v>-1.1711711711711703</v>
      </c>
      <c r="U25" s="78">
        <v>98.88</v>
      </c>
      <c r="V25" s="138">
        <v>6.0654400571331921</v>
      </c>
      <c r="W25" s="51">
        <v>1.3947336498129141</v>
      </c>
      <c r="X25" s="52">
        <v>1.0368273601937081E-2</v>
      </c>
      <c r="Y25" s="139">
        <v>1.0368273601937081E-3</v>
      </c>
      <c r="Z25" s="109">
        <v>864</v>
      </c>
      <c r="AA25" s="109">
        <v>70</v>
      </c>
      <c r="AB25" s="76">
        <v>72.845446980382192</v>
      </c>
      <c r="AC25" s="30">
        <v>2.5462287913120654</v>
      </c>
      <c r="AD25" s="30">
        <v>187.25877038074523</v>
      </c>
      <c r="AE25" s="30">
        <v>4.0471896224042032</v>
      </c>
      <c r="AF25" s="42">
        <v>0.38900953387800563</v>
      </c>
      <c r="AG25" s="57">
        <f t="shared" si="2"/>
        <v>1.5986755958422753E-2</v>
      </c>
      <c r="AH25" s="42">
        <v>1068.9916603487488</v>
      </c>
      <c r="AI25" s="42">
        <v>88.750763737649763</v>
      </c>
      <c r="AJ25" s="42">
        <v>34.872684798932077</v>
      </c>
      <c r="AK25" s="42">
        <v>2.089300221667195</v>
      </c>
      <c r="AL25" s="42">
        <v>171.00609697929352</v>
      </c>
      <c r="AM25" s="42">
        <v>116.27324064447954</v>
      </c>
      <c r="AN25" s="79" t="s">
        <v>92</v>
      </c>
      <c r="AO25" s="79" t="s">
        <v>92</v>
      </c>
      <c r="AP25" s="42">
        <v>2099.653113830334</v>
      </c>
      <c r="AQ25" s="78">
        <v>63.49358078030096</v>
      </c>
    </row>
    <row r="26" spans="1:43" s="47" customFormat="1" x14ac:dyDescent="0.2">
      <c r="A26" s="60" t="s">
        <v>29</v>
      </c>
      <c r="B26" s="61" t="s">
        <v>30</v>
      </c>
      <c r="C26" s="61" t="s">
        <v>32</v>
      </c>
      <c r="D26" s="43">
        <v>5997</v>
      </c>
      <c r="E26" s="4">
        <v>1046</v>
      </c>
      <c r="F26" s="46">
        <v>0.48420000000000002</v>
      </c>
      <c r="G26" s="46">
        <v>2.4350000000000001E-3</v>
      </c>
      <c r="H26" s="46">
        <v>0.48230000000000001</v>
      </c>
      <c r="I26" s="46">
        <v>2.4529999999999999E-3</v>
      </c>
      <c r="J26" s="46">
        <v>64.180000000000007</v>
      </c>
      <c r="K26" s="46">
        <v>2.375</v>
      </c>
      <c r="L26" s="46">
        <v>0.96499999999999997</v>
      </c>
      <c r="M26" s="46">
        <v>3.533E-2</v>
      </c>
      <c r="N26" s="31">
        <v>4188</v>
      </c>
      <c r="O26" s="32">
        <v>7.5190000000000001</v>
      </c>
      <c r="P26" s="4">
        <v>4355</v>
      </c>
      <c r="Q26" s="44">
        <v>115.9</v>
      </c>
      <c r="R26" s="4">
        <v>4241</v>
      </c>
      <c r="S26" s="44">
        <v>37</v>
      </c>
      <c r="T26" s="45">
        <v>-3.8346727898966759</v>
      </c>
      <c r="U26" s="102">
        <v>99.69</v>
      </c>
      <c r="V26" s="70">
        <v>12.749873141761732</v>
      </c>
      <c r="W26" s="42">
        <v>1.8248438138751308</v>
      </c>
      <c r="X26" s="41">
        <v>2.1794654943182449E-2</v>
      </c>
      <c r="Y26" s="71">
        <v>2.179465494318245E-3</v>
      </c>
      <c r="Z26" s="62">
        <v>951</v>
      </c>
      <c r="AA26" s="62">
        <v>70</v>
      </c>
      <c r="AB26" s="68">
        <v>61.975172214626234</v>
      </c>
      <c r="AC26" s="44">
        <v>1.5635750243299154</v>
      </c>
      <c r="AD26" s="45">
        <v>156.95034334142068</v>
      </c>
      <c r="AE26" s="44">
        <v>3.1985380502516971</v>
      </c>
      <c r="AF26" s="45">
        <v>0.39487121146214404</v>
      </c>
      <c r="AG26" s="63">
        <f>AF26*SQRT((AC26/AB26)^2+(AE26/AD26)^2)</f>
        <v>1.2806380557172016E-2</v>
      </c>
      <c r="AH26" s="44">
        <v>990.7505686125852</v>
      </c>
      <c r="AI26" s="44">
        <v>58.445218781089871</v>
      </c>
      <c r="AJ26" s="44">
        <v>72.332387785750015</v>
      </c>
      <c r="AK26" s="44">
        <v>2.5948740953154248</v>
      </c>
      <c r="AL26" s="44">
        <v>51.286381388550545</v>
      </c>
      <c r="AM26" s="44">
        <v>8.4168097352180489</v>
      </c>
      <c r="AN26" s="44">
        <v>13753.980971461278</v>
      </c>
      <c r="AO26" s="44">
        <v>1101.1714677834154</v>
      </c>
      <c r="AP26" s="44">
        <v>2020.7477609073203</v>
      </c>
      <c r="AQ26" s="75">
        <v>35.504529882417771</v>
      </c>
    </row>
    <row r="27" spans="1:43" x14ac:dyDescent="0.2">
      <c r="A27" s="19"/>
      <c r="B27" s="12" t="s">
        <v>31</v>
      </c>
      <c r="C27" s="12" t="s">
        <v>33</v>
      </c>
      <c r="D27" s="53" t="s">
        <v>210</v>
      </c>
      <c r="H27" s="80"/>
      <c r="I27" s="80"/>
      <c r="J27" s="80"/>
      <c r="K27" s="80"/>
      <c r="L27" s="80"/>
      <c r="M27" s="80"/>
      <c r="N27" s="3">
        <v>4312</v>
      </c>
      <c r="O27" s="29">
        <v>5.7</v>
      </c>
      <c r="Q27" s="55"/>
      <c r="S27" s="55"/>
      <c r="T27" s="56"/>
      <c r="U27" s="101"/>
      <c r="V27" s="70">
        <v>14.802232704993516</v>
      </c>
      <c r="W27" s="42">
        <v>1.8717928860193676</v>
      </c>
      <c r="X27" s="41">
        <v>2.5302961888877804E-2</v>
      </c>
      <c r="Y27" s="71">
        <v>2.5302961888877804E-3</v>
      </c>
      <c r="Z27" s="109">
        <v>926</v>
      </c>
      <c r="AA27" s="109">
        <v>70</v>
      </c>
      <c r="AB27" s="70">
        <v>263.34089054471059</v>
      </c>
      <c r="AC27" s="30">
        <v>8.0537057977756632</v>
      </c>
      <c r="AD27" s="42">
        <v>365.96841958217527</v>
      </c>
      <c r="AE27" s="30">
        <v>10.049311466295295</v>
      </c>
      <c r="AF27" s="42">
        <v>0.71957271844758042</v>
      </c>
      <c r="AG27" s="57">
        <f t="shared" si="2"/>
        <v>2.9575515222711384E-2</v>
      </c>
      <c r="AH27" s="30">
        <v>2783.9272175890824</v>
      </c>
      <c r="AI27" s="30">
        <v>172.01680040223349</v>
      </c>
      <c r="AJ27" s="30">
        <v>59.469380944435166</v>
      </c>
      <c r="AK27" s="30">
        <v>2.498207273081861</v>
      </c>
      <c r="AL27" s="30">
        <v>203.36903945188791</v>
      </c>
      <c r="AM27" s="30">
        <v>99.685971109627246</v>
      </c>
      <c r="AN27" s="30">
        <v>14661.235652956086</v>
      </c>
      <c r="AO27" s="30">
        <v>1222.4375151386582</v>
      </c>
      <c r="AP27" s="30">
        <v>7337.770998306928</v>
      </c>
      <c r="AQ27" s="77">
        <v>308.87207278981748</v>
      </c>
    </row>
    <row r="28" spans="1:43" x14ac:dyDescent="0.2">
      <c r="A28" s="19"/>
      <c r="B28" s="12"/>
      <c r="C28" s="12"/>
      <c r="D28" s="48">
        <v>10110</v>
      </c>
      <c r="E28" s="3">
        <v>1616</v>
      </c>
      <c r="F28" s="41">
        <v>0.53359999999999996</v>
      </c>
      <c r="G28" s="41">
        <v>1.761E-3</v>
      </c>
      <c r="H28" s="41">
        <v>0.53300000000000003</v>
      </c>
      <c r="I28" s="41">
        <v>1.763E-3</v>
      </c>
      <c r="J28" s="41">
        <v>67.88</v>
      </c>
      <c r="K28" s="41">
        <v>2.65</v>
      </c>
      <c r="L28" s="41">
        <v>0.92359999999999998</v>
      </c>
      <c r="M28" s="41">
        <v>3.601E-2</v>
      </c>
      <c r="N28" s="3">
        <v>4335</v>
      </c>
      <c r="O28" s="29">
        <v>4.8490000000000002</v>
      </c>
      <c r="P28" s="3">
        <v>4217</v>
      </c>
      <c r="Q28" s="30">
        <v>120.7</v>
      </c>
      <c r="R28" s="3">
        <v>4297</v>
      </c>
      <c r="S28" s="30">
        <v>39.06</v>
      </c>
      <c r="T28" s="42">
        <v>2.7981977709272021</v>
      </c>
      <c r="U28" s="78">
        <v>99.81</v>
      </c>
      <c r="V28" s="70">
        <v>10.825461857956359</v>
      </c>
      <c r="W28" s="42">
        <v>1.3361990171428642</v>
      </c>
      <c r="X28" s="41">
        <v>1.8505063005053606E-2</v>
      </c>
      <c r="Y28" s="71">
        <v>1.8505063005053606E-3</v>
      </c>
      <c r="Z28" s="109">
        <v>905</v>
      </c>
      <c r="AA28" s="109">
        <v>70</v>
      </c>
      <c r="AB28" s="70">
        <v>143.42674022002672</v>
      </c>
      <c r="AC28" s="30">
        <v>3.878782567759683</v>
      </c>
      <c r="AD28" s="42">
        <v>237.88604331775696</v>
      </c>
      <c r="AE28" s="30">
        <v>4.5312479262992982</v>
      </c>
      <c r="AF28" s="42">
        <v>0.60292204712675823</v>
      </c>
      <c r="AG28" s="57">
        <f t="shared" si="2"/>
        <v>1.9943732144760404E-2</v>
      </c>
      <c r="AH28" s="30">
        <v>2102.5018953752842</v>
      </c>
      <c r="AI28" s="30">
        <v>128.12182172757471</v>
      </c>
      <c r="AJ28" s="30">
        <v>49.593859502753205</v>
      </c>
      <c r="AK28" s="30">
        <v>1.7952248313705021</v>
      </c>
      <c r="AL28" s="30">
        <v>44.311742473812423</v>
      </c>
      <c r="AM28" s="30">
        <v>1.0304170422503705</v>
      </c>
      <c r="AN28" s="30">
        <v>13245.918349824187</v>
      </c>
      <c r="AO28" s="30">
        <v>1140.8087059412223</v>
      </c>
      <c r="AP28" s="30">
        <v>4516.515625669198</v>
      </c>
      <c r="AQ28" s="77">
        <v>86.645059705808478</v>
      </c>
    </row>
    <row r="29" spans="1:43" x14ac:dyDescent="0.2">
      <c r="A29" s="19" t="s">
        <v>34</v>
      </c>
      <c r="B29" s="12" t="s">
        <v>23</v>
      </c>
      <c r="C29" s="12" t="s">
        <v>35</v>
      </c>
      <c r="D29" s="48">
        <v>118300</v>
      </c>
      <c r="E29" s="3">
        <v>52900</v>
      </c>
      <c r="F29" s="41">
        <v>0.50139999999999996</v>
      </c>
      <c r="G29" s="41">
        <v>2.1549999999999998E-3</v>
      </c>
      <c r="H29" s="41">
        <v>0.50129999999999997</v>
      </c>
      <c r="I29" s="41">
        <v>2.14E-3</v>
      </c>
      <c r="J29" s="41">
        <v>65.069999999999993</v>
      </c>
      <c r="K29" s="41">
        <v>2.7549999999999999</v>
      </c>
      <c r="L29" s="41">
        <v>0.94140000000000001</v>
      </c>
      <c r="M29" s="41">
        <v>3.909E-2</v>
      </c>
      <c r="N29" s="35">
        <v>4245</v>
      </c>
      <c r="O29" s="36">
        <v>6.29</v>
      </c>
      <c r="P29" s="3">
        <v>4277</v>
      </c>
      <c r="Q29" s="30">
        <v>129.80000000000001</v>
      </c>
      <c r="R29" s="3">
        <v>4255</v>
      </c>
      <c r="S29" s="30">
        <v>42.34</v>
      </c>
      <c r="T29" s="42">
        <v>-0.7481879822305304</v>
      </c>
      <c r="U29" s="78">
        <v>99.98</v>
      </c>
      <c r="V29" s="70">
        <v>7.3016970813208291</v>
      </c>
      <c r="W29" s="42">
        <v>1.195260181517678</v>
      </c>
      <c r="X29" s="41">
        <v>1.2481533472343298E-2</v>
      </c>
      <c r="Y29" s="71">
        <v>1.2481533472343297E-3</v>
      </c>
      <c r="Z29" s="109">
        <v>885</v>
      </c>
      <c r="AA29" s="109">
        <v>70</v>
      </c>
      <c r="AB29" s="70">
        <v>90.273080974680184</v>
      </c>
      <c r="AC29" s="30">
        <v>2.2076353158279329</v>
      </c>
      <c r="AD29" s="42">
        <v>217.20058799753983</v>
      </c>
      <c r="AE29" s="30">
        <v>3.3927280721677922</v>
      </c>
      <c r="AF29" s="42">
        <v>0.41562079461636947</v>
      </c>
      <c r="AG29" s="57">
        <f t="shared" si="2"/>
        <v>1.2060476007670183E-2</v>
      </c>
      <c r="AH29" s="30">
        <v>1132.6762699014403</v>
      </c>
      <c r="AI29" s="30">
        <v>72.681300238242997</v>
      </c>
      <c r="AJ29" s="30">
        <v>41.840814283330545</v>
      </c>
      <c r="AK29" s="30">
        <v>3.5083432642894223</v>
      </c>
      <c r="AL29" s="30">
        <v>35.359797288672347</v>
      </c>
      <c r="AM29" s="30">
        <v>5.1615270450813302</v>
      </c>
      <c r="AN29" s="30">
        <v>22318.46516477226</v>
      </c>
      <c r="AO29" s="30">
        <v>2251.1911103649677</v>
      </c>
      <c r="AP29" s="30">
        <v>2471.511199761956</v>
      </c>
      <c r="AQ29" s="77">
        <v>43.62482429609512</v>
      </c>
    </row>
    <row r="30" spans="1:43" x14ac:dyDescent="0.2">
      <c r="A30" s="19"/>
      <c r="B30" s="12" t="s">
        <v>24</v>
      </c>
      <c r="C30" s="12" t="s">
        <v>36</v>
      </c>
      <c r="D30" s="53" t="s">
        <v>211</v>
      </c>
      <c r="H30" s="80"/>
      <c r="I30" s="80"/>
      <c r="J30" s="80"/>
      <c r="K30" s="80"/>
      <c r="L30" s="80"/>
      <c r="M30" s="80"/>
      <c r="N30" s="3">
        <v>4326</v>
      </c>
      <c r="O30" s="29">
        <v>3</v>
      </c>
      <c r="Q30" s="55"/>
      <c r="S30" s="55"/>
      <c r="T30" s="56"/>
      <c r="U30" s="101"/>
      <c r="V30" s="70">
        <v>11.3891258997538</v>
      </c>
      <c r="W30" s="42">
        <v>1.6500224140527737</v>
      </c>
      <c r="X30" s="41">
        <v>1.9468591281630428E-2</v>
      </c>
      <c r="Y30" s="71">
        <v>1.9468591281630427E-3</v>
      </c>
      <c r="Z30" s="109">
        <v>880</v>
      </c>
      <c r="AA30" s="109">
        <v>70</v>
      </c>
      <c r="AB30" s="70">
        <v>52.954555498002073</v>
      </c>
      <c r="AC30" s="30">
        <v>1.5192253462745526</v>
      </c>
      <c r="AD30" s="42">
        <v>162.51993725234504</v>
      </c>
      <c r="AE30" s="30">
        <v>3.9426251678945987</v>
      </c>
      <c r="AF30" s="42">
        <v>0.32583421082534275</v>
      </c>
      <c r="AG30" s="57">
        <f t="shared" si="2"/>
        <v>1.2241947487483531E-2</v>
      </c>
      <c r="AH30" s="30">
        <v>779.4086429112964</v>
      </c>
      <c r="AI30" s="30">
        <v>45.077787750259922</v>
      </c>
      <c r="AJ30" s="30">
        <v>39.189721341565154</v>
      </c>
      <c r="AK30" s="30">
        <v>2.5583613166941057</v>
      </c>
      <c r="AL30" s="30">
        <v>960.84726577344691</v>
      </c>
      <c r="AM30" s="30">
        <v>496.62829424307273</v>
      </c>
      <c r="AN30" s="30">
        <v>13064.467413525224</v>
      </c>
      <c r="AO30" s="30">
        <v>1104.2493385649223</v>
      </c>
      <c r="AP30" s="30">
        <v>1355.5088075714748</v>
      </c>
      <c r="AQ30" s="77">
        <v>35.441120412905974</v>
      </c>
    </row>
    <row r="31" spans="1:43" x14ac:dyDescent="0.2">
      <c r="A31" s="19"/>
      <c r="B31" s="12"/>
      <c r="C31" s="12"/>
      <c r="D31" s="48">
        <v>14130</v>
      </c>
      <c r="E31" s="3">
        <v>5269</v>
      </c>
      <c r="F31" s="41">
        <v>0.53129999999999999</v>
      </c>
      <c r="G31" s="41">
        <v>3.1259999999999999E-3</v>
      </c>
      <c r="H31" s="41">
        <v>0.53149999999999997</v>
      </c>
      <c r="I31" s="41">
        <v>2.7980000000000001E-3</v>
      </c>
      <c r="J31" s="41">
        <v>75.989999999999995</v>
      </c>
      <c r="K31" s="41">
        <v>4.0949999999999998</v>
      </c>
      <c r="L31" s="41">
        <v>1.0369999999999999</v>
      </c>
      <c r="M31" s="41">
        <v>5.5039999999999999E-2</v>
      </c>
      <c r="N31" s="3">
        <v>4331</v>
      </c>
      <c r="O31" s="29">
        <v>7.7220000000000004</v>
      </c>
      <c r="P31" s="3">
        <v>4586</v>
      </c>
      <c r="Q31" s="30">
        <v>174.2</v>
      </c>
      <c r="R31" s="3">
        <v>4411</v>
      </c>
      <c r="S31" s="30">
        <v>54</v>
      </c>
      <c r="T31" s="42">
        <v>-5.5604012211077141</v>
      </c>
      <c r="U31" s="78">
        <v>99.87</v>
      </c>
    </row>
    <row r="32" spans="1:43" x14ac:dyDescent="0.2">
      <c r="A32" s="19"/>
      <c r="B32" s="12"/>
      <c r="C32" s="12"/>
      <c r="D32" s="53" t="s">
        <v>211</v>
      </c>
      <c r="N32" s="3">
        <v>4332</v>
      </c>
      <c r="O32" s="29">
        <v>3</v>
      </c>
      <c r="T32" s="56"/>
      <c r="U32" s="101"/>
    </row>
    <row r="33" spans="1:43" x14ac:dyDescent="0.2">
      <c r="A33" s="19"/>
      <c r="B33" s="12"/>
      <c r="C33" s="12"/>
      <c r="D33" s="53" t="s">
        <v>211</v>
      </c>
      <c r="N33" s="3">
        <v>4339</v>
      </c>
      <c r="O33" s="29">
        <v>4</v>
      </c>
    </row>
    <row r="34" spans="1:43" x14ac:dyDescent="0.2">
      <c r="A34" s="19"/>
      <c r="B34" s="12"/>
      <c r="C34" s="12"/>
      <c r="D34" s="53" t="s">
        <v>211</v>
      </c>
      <c r="N34" s="3">
        <v>4340</v>
      </c>
      <c r="O34" s="29">
        <v>3</v>
      </c>
    </row>
    <row r="35" spans="1:43" x14ac:dyDescent="0.2">
      <c r="A35" s="19"/>
      <c r="B35" s="12"/>
      <c r="C35" s="12"/>
      <c r="D35" s="53" t="s">
        <v>211</v>
      </c>
      <c r="N35" s="3">
        <v>4344</v>
      </c>
      <c r="O35" s="29">
        <v>8</v>
      </c>
    </row>
    <row r="36" spans="1:43" s="47" customFormat="1" x14ac:dyDescent="0.2">
      <c r="A36" s="60" t="s">
        <v>93</v>
      </c>
      <c r="B36" s="61" t="s">
        <v>38</v>
      </c>
      <c r="C36" s="61" t="s">
        <v>39</v>
      </c>
      <c r="D36" s="64" t="s">
        <v>212</v>
      </c>
      <c r="N36" s="4">
        <v>4106</v>
      </c>
      <c r="O36" s="81">
        <v>9</v>
      </c>
      <c r="U36" s="65"/>
      <c r="V36" s="68">
        <v>5.0038151440545766</v>
      </c>
      <c r="W36" s="45">
        <v>0.73617832824267071</v>
      </c>
      <c r="X36" s="46">
        <v>8.5535301607770533E-3</v>
      </c>
      <c r="Y36" s="69">
        <v>8.5535301607770535E-4</v>
      </c>
      <c r="Z36" s="62">
        <v>1037</v>
      </c>
      <c r="AA36" s="62">
        <v>70</v>
      </c>
      <c r="AB36" s="68">
        <v>37.761446691702446</v>
      </c>
      <c r="AC36" s="44">
        <v>1.0880785390403926</v>
      </c>
      <c r="AD36" s="45">
        <v>80.139835306365327</v>
      </c>
      <c r="AE36" s="44">
        <v>1.7208691859150538</v>
      </c>
      <c r="AF36" s="45">
        <v>0.47119446336949405</v>
      </c>
      <c r="AG36" s="63">
        <f>AF36*SQRT((AC36/AB36)^2+(AE36/AD36)^2)</f>
        <v>1.6932747734223312E-2</v>
      </c>
      <c r="AH36" s="44">
        <v>1118.1197877179682</v>
      </c>
      <c r="AI36" s="44">
        <v>70.091385887981914</v>
      </c>
      <c r="AJ36" s="44">
        <v>136.23894543634236</v>
      </c>
      <c r="AK36" s="44">
        <v>5.8441687969422382</v>
      </c>
      <c r="AL36" s="44">
        <v>116.63017454323995</v>
      </c>
      <c r="AM36" s="44">
        <v>54.142543404469883</v>
      </c>
      <c r="AN36" s="44">
        <v>13790.271158721071</v>
      </c>
      <c r="AO36" s="44">
        <v>1169.0652383544812</v>
      </c>
      <c r="AP36" s="44">
        <v>2111.7564843198038</v>
      </c>
      <c r="AQ36" s="75">
        <v>33.08586448691085</v>
      </c>
    </row>
    <row r="37" spans="1:43" x14ac:dyDescent="0.2">
      <c r="A37" s="19"/>
      <c r="B37" s="12"/>
      <c r="C37" s="12"/>
      <c r="D37" s="53" t="s">
        <v>212</v>
      </c>
      <c r="N37" s="3">
        <v>4347</v>
      </c>
      <c r="O37" s="29">
        <v>4</v>
      </c>
      <c r="V37" s="70">
        <v>9.9419271175928881</v>
      </c>
      <c r="W37" s="42">
        <v>1.6727769455355448</v>
      </c>
      <c r="X37" s="41">
        <v>1.6994747209560492E-2</v>
      </c>
      <c r="Y37" s="71">
        <v>1.6994747209560491E-3</v>
      </c>
      <c r="Z37" s="109">
        <v>1079</v>
      </c>
      <c r="AA37" s="109">
        <v>70</v>
      </c>
      <c r="AB37" s="70">
        <v>49.717425662868266</v>
      </c>
      <c r="AC37" s="30">
        <v>1.4227811559413346</v>
      </c>
      <c r="AD37" s="42">
        <v>94.2726472631376</v>
      </c>
      <c r="AE37" s="30">
        <v>2.1564783197638979</v>
      </c>
      <c r="AF37" s="42">
        <v>0.52737911903645807</v>
      </c>
      <c r="AG37" s="57">
        <f t="shared" ref="AG37:AG40" si="3">AF37*SQRT((AC37/AB37)^2+(AE37/AD37)^2)</f>
        <v>1.9321190558947429E-2</v>
      </c>
      <c r="AH37" s="30">
        <v>1348.2941622441242</v>
      </c>
      <c r="AI37" s="30">
        <v>85.125308522450609</v>
      </c>
      <c r="AJ37" s="30">
        <v>179.7296846320707</v>
      </c>
      <c r="AK37" s="30">
        <v>8.9363287714447921</v>
      </c>
      <c r="AL37" s="30">
        <v>57.982961609013394</v>
      </c>
      <c r="AM37" s="30">
        <v>11.819732017942163</v>
      </c>
      <c r="AN37" s="30">
        <v>14116.882844059201</v>
      </c>
      <c r="AO37" s="30">
        <v>1167.5766591088327</v>
      </c>
      <c r="AP37" s="30">
        <v>2509.109796955117</v>
      </c>
      <c r="AQ37" s="77">
        <v>42.259065193648276</v>
      </c>
    </row>
    <row r="38" spans="1:43" x14ac:dyDescent="0.2">
      <c r="A38" s="19"/>
      <c r="B38" s="12"/>
      <c r="C38" s="12"/>
      <c r="D38" s="53" t="s">
        <v>212</v>
      </c>
      <c r="N38" s="3">
        <v>4353</v>
      </c>
      <c r="O38" s="29">
        <v>4</v>
      </c>
      <c r="V38" s="70">
        <v>3.7848484278975358</v>
      </c>
      <c r="W38" s="42">
        <v>0.50123765577630885</v>
      </c>
      <c r="X38" s="41">
        <v>6.4698263724744199E-3</v>
      </c>
      <c r="Y38" s="71">
        <v>6.4698263724744204E-4</v>
      </c>
      <c r="Z38" s="109">
        <v>1005</v>
      </c>
      <c r="AA38" s="109">
        <v>70</v>
      </c>
      <c r="AB38" s="70">
        <v>35.714409093643013</v>
      </c>
      <c r="AC38" s="30">
        <v>0.93901087900600477</v>
      </c>
      <c r="AD38" s="42">
        <v>76.355993203522416</v>
      </c>
      <c r="AE38" s="30">
        <v>1.7022978617654825</v>
      </c>
      <c r="AF38" s="42">
        <v>0.46773550569171896</v>
      </c>
      <c r="AG38" s="57">
        <f t="shared" si="3"/>
        <v>1.6123739605319837E-2</v>
      </c>
      <c r="AH38" s="30">
        <v>1119.9393479909022</v>
      </c>
      <c r="AI38" s="30">
        <v>69.047582877041791</v>
      </c>
      <c r="AJ38" s="30">
        <v>105.40297013182044</v>
      </c>
      <c r="AK38" s="30">
        <v>3.9063067956451776</v>
      </c>
      <c r="AL38" s="30">
        <v>301.335482911084</v>
      </c>
      <c r="AM38" s="30">
        <v>92.118476493228698</v>
      </c>
      <c r="AN38" s="30">
        <v>14552.365091176707</v>
      </c>
      <c r="AO38" s="30">
        <v>1170.9704579379536</v>
      </c>
      <c r="AP38" s="30">
        <v>2029.6792413017431</v>
      </c>
      <c r="AQ38" s="77">
        <v>31.834241773546598</v>
      </c>
    </row>
    <row r="39" spans="1:43" x14ac:dyDescent="0.2">
      <c r="A39" s="19"/>
      <c r="B39" s="12"/>
      <c r="C39" s="12"/>
      <c r="D39" s="53" t="s">
        <v>212</v>
      </c>
      <c r="N39" s="3">
        <v>4356</v>
      </c>
      <c r="O39" s="29">
        <v>4</v>
      </c>
      <c r="V39" s="70">
        <v>6.8210265180702505</v>
      </c>
      <c r="W39" s="42">
        <v>0.85481886307799582</v>
      </c>
      <c r="X39" s="41">
        <v>1.1659874389863677E-2</v>
      </c>
      <c r="Y39" s="71">
        <v>1.1659874389863677E-3</v>
      </c>
      <c r="Z39" s="109">
        <v>1105</v>
      </c>
      <c r="AA39" s="109">
        <v>70</v>
      </c>
      <c r="AB39" s="70">
        <v>83.402112813509447</v>
      </c>
      <c r="AC39" s="30">
        <v>1.5007781190288887</v>
      </c>
      <c r="AD39" s="42">
        <v>141.16463500022078</v>
      </c>
      <c r="AE39" s="30">
        <v>2.0640679365823966</v>
      </c>
      <c r="AF39" s="42">
        <v>0.59081449694095833</v>
      </c>
      <c r="AG39" s="57">
        <f t="shared" si="3"/>
        <v>1.3698691598771934E-2</v>
      </c>
      <c r="AH39" s="30">
        <v>1600.3032600454887</v>
      </c>
      <c r="AI39" s="30">
        <v>109.44867061040551</v>
      </c>
      <c r="AJ39" s="30">
        <v>210.96612714833969</v>
      </c>
      <c r="AK39" s="30">
        <v>7.4421957204192708</v>
      </c>
      <c r="AL39" s="30">
        <v>54.18282612058465</v>
      </c>
      <c r="AM39" s="30">
        <v>1.4566464660179081</v>
      </c>
      <c r="AN39" s="30">
        <v>14443.494529397331</v>
      </c>
      <c r="AO39" s="30">
        <v>1286.8012366937303</v>
      </c>
      <c r="AP39" s="30">
        <v>3023.1105048032264</v>
      </c>
      <c r="AQ39" s="77">
        <v>45.586706719438929</v>
      </c>
    </row>
    <row r="40" spans="1:43" x14ac:dyDescent="0.2">
      <c r="A40" s="19"/>
      <c r="B40" s="12"/>
      <c r="C40" s="12"/>
      <c r="D40" s="53" t="s">
        <v>212</v>
      </c>
      <c r="N40" s="3">
        <v>4368</v>
      </c>
      <c r="O40" s="29">
        <v>4</v>
      </c>
      <c r="V40" s="70">
        <v>13.03516322426657</v>
      </c>
      <c r="W40" s="42">
        <v>2.3604345511453499</v>
      </c>
      <c r="X40" s="41">
        <v>2.2282330297891572E-2</v>
      </c>
      <c r="Y40" s="71">
        <v>2.2282330297891573E-3</v>
      </c>
      <c r="Z40" s="12">
        <v>1074</v>
      </c>
      <c r="AA40" s="12">
        <v>70</v>
      </c>
      <c r="AB40" s="70">
        <v>58.1096498610274</v>
      </c>
      <c r="AC40" s="30">
        <v>2.3872432821770362</v>
      </c>
      <c r="AD40" s="42">
        <v>107.429523814101</v>
      </c>
      <c r="AE40" s="30">
        <v>3.0481018021918476</v>
      </c>
      <c r="AF40" s="42">
        <v>0.54090949859911819</v>
      </c>
      <c r="AG40" s="57">
        <f t="shared" si="3"/>
        <v>2.7006151368341984E-2</v>
      </c>
      <c r="AH40" s="30">
        <v>2290.8263836239571</v>
      </c>
      <c r="AI40" s="30">
        <v>148.49086612063306</v>
      </c>
      <c r="AJ40" s="30">
        <v>171.48006007008172</v>
      </c>
      <c r="AK40" s="30">
        <v>9.0014379509356264</v>
      </c>
      <c r="AL40" s="30">
        <v>1635.9119846528622</v>
      </c>
      <c r="AM40" s="30">
        <v>336.98985986564566</v>
      </c>
      <c r="AN40" s="30">
        <v>13137.047788044809</v>
      </c>
      <c r="AO40" s="30">
        <v>1079.6487181553794</v>
      </c>
      <c r="AP40" s="30">
        <v>4401.1557148951988</v>
      </c>
      <c r="AQ40" s="77">
        <v>143.5268177615462</v>
      </c>
    </row>
    <row r="41" spans="1:43" x14ac:dyDescent="0.2">
      <c r="A41" s="19"/>
      <c r="B41" s="12"/>
      <c r="C41" s="12"/>
      <c r="D41" s="53" t="s">
        <v>212</v>
      </c>
      <c r="N41" s="3">
        <v>4368</v>
      </c>
      <c r="O41" s="29">
        <v>8</v>
      </c>
      <c r="Z41" s="109"/>
      <c r="AA41" s="109"/>
    </row>
    <row r="42" spans="1:43" x14ac:dyDescent="0.2">
      <c r="A42" s="19"/>
      <c r="B42" s="12"/>
      <c r="C42" s="12"/>
      <c r="D42" s="53" t="s">
        <v>212</v>
      </c>
      <c r="N42" s="3">
        <v>4395</v>
      </c>
      <c r="O42" s="29">
        <v>5</v>
      </c>
      <c r="Z42" s="109"/>
      <c r="AA42" s="109"/>
    </row>
    <row r="43" spans="1:43" x14ac:dyDescent="0.2">
      <c r="A43" s="19" t="s">
        <v>40</v>
      </c>
      <c r="B43" s="12" t="s">
        <v>38</v>
      </c>
      <c r="C43" s="12" t="s">
        <v>44</v>
      </c>
      <c r="D43" s="53" t="s">
        <v>212</v>
      </c>
      <c r="N43" s="3">
        <v>4355</v>
      </c>
      <c r="O43" s="29">
        <v>11</v>
      </c>
      <c r="V43" s="70">
        <v>9.6687402507094671</v>
      </c>
      <c r="W43" s="42">
        <v>1.1903332729661744</v>
      </c>
      <c r="X43" s="41">
        <v>1.6527761112323874E-2</v>
      </c>
      <c r="Y43" s="71">
        <v>1.6527761112323873E-3</v>
      </c>
      <c r="Z43" s="109">
        <v>1054</v>
      </c>
      <c r="AA43" s="109">
        <v>70</v>
      </c>
      <c r="AB43" s="82">
        <v>102.0570370212923</v>
      </c>
      <c r="AC43" s="30">
        <v>2.6483011338783884</v>
      </c>
      <c r="AD43" s="56">
        <v>220.22665496947204</v>
      </c>
      <c r="AE43" s="30">
        <v>4.0953884977410624</v>
      </c>
      <c r="AF43" s="56">
        <v>0.46341818630192388</v>
      </c>
      <c r="AG43" s="57">
        <f t="shared" ref="AG43" si="4">AF43*SQRT((AC43/AB43)^2+(AE43/AD43)^2)</f>
        <v>1.4794458552463093E-2</v>
      </c>
      <c r="AH43" s="30">
        <v>1784.988627748294</v>
      </c>
      <c r="AI43" s="30">
        <v>114.04298179344939</v>
      </c>
      <c r="AJ43" s="30">
        <v>152.41782079092269</v>
      </c>
      <c r="AK43" s="30">
        <v>8.8582767367505522</v>
      </c>
      <c r="AL43" s="30">
        <v>25.650914546894029</v>
      </c>
      <c r="AM43" s="30">
        <v>1.1035862170890181</v>
      </c>
      <c r="AN43" s="55">
        <v>12919.306664486054</v>
      </c>
      <c r="AO43" s="55">
        <v>1116.269097450476</v>
      </c>
      <c r="AP43" s="55">
        <v>3125.7366944633659</v>
      </c>
      <c r="AQ43" s="83">
        <v>56.003397850503916</v>
      </c>
    </row>
    <row r="44" spans="1:43" x14ac:dyDescent="0.2">
      <c r="A44" s="19"/>
      <c r="B44" s="12"/>
      <c r="C44" s="12"/>
      <c r="D44" s="53" t="s">
        <v>212</v>
      </c>
      <c r="N44" s="3">
        <v>4397</v>
      </c>
      <c r="O44" s="29">
        <v>21</v>
      </c>
      <c r="X44" s="41"/>
      <c r="Y44" s="71"/>
      <c r="Z44" s="109"/>
      <c r="AA44" s="109"/>
      <c r="AJ44" s="30"/>
      <c r="AK44" s="30"/>
      <c r="AL44" s="30"/>
      <c r="AM44" s="30"/>
    </row>
    <row r="45" spans="1:43" x14ac:dyDescent="0.2">
      <c r="A45" s="19"/>
      <c r="B45" s="12"/>
      <c r="C45" s="12"/>
      <c r="D45" s="53" t="s">
        <v>212</v>
      </c>
      <c r="N45" s="3">
        <v>4409</v>
      </c>
      <c r="O45" s="29">
        <v>13</v>
      </c>
      <c r="X45" s="41"/>
      <c r="Y45" s="71"/>
      <c r="Z45" s="109"/>
      <c r="AA45" s="109"/>
      <c r="AJ45" s="30"/>
      <c r="AK45" s="30"/>
      <c r="AL45" s="30"/>
      <c r="AM45" s="30"/>
    </row>
    <row r="46" spans="1:43" x14ac:dyDescent="0.2">
      <c r="A46" s="19"/>
      <c r="B46" s="12" t="s">
        <v>41</v>
      </c>
      <c r="C46" s="12" t="s">
        <v>45</v>
      </c>
      <c r="D46" s="53" t="s">
        <v>212</v>
      </c>
      <c r="N46" s="3">
        <v>4188</v>
      </c>
      <c r="O46" s="29">
        <v>7</v>
      </c>
      <c r="V46" s="70">
        <v>18.293145896370913</v>
      </c>
      <c r="W46" s="42">
        <v>2.3333014447883715</v>
      </c>
      <c r="X46" s="41">
        <v>3.1270334865591304E-2</v>
      </c>
      <c r="Y46" s="71">
        <v>3.1270334865591302E-3</v>
      </c>
      <c r="Z46" s="109">
        <v>930</v>
      </c>
      <c r="AA46" s="109">
        <v>70</v>
      </c>
      <c r="AB46" s="82">
        <v>46.474650598097057</v>
      </c>
      <c r="AC46" s="30">
        <v>1.3947713263932633</v>
      </c>
      <c r="AD46" s="56">
        <v>114.07234948590927</v>
      </c>
      <c r="AE46" s="30">
        <v>2.5417508731378784</v>
      </c>
      <c r="AF46" s="56">
        <v>0.40741381068720617</v>
      </c>
      <c r="AG46" s="57">
        <f t="shared" ref="AG46" si="5">AF46*SQRT((AC46/AB46)^2+(AE46/AD46)^2)</f>
        <v>1.5228617237406025E-2</v>
      </c>
      <c r="AH46" s="30">
        <v>1054.4351781652767</v>
      </c>
      <c r="AI46" s="30">
        <v>66.307202939848636</v>
      </c>
      <c r="AJ46" s="30">
        <v>61.311530118471538</v>
      </c>
      <c r="AK46" s="30">
        <v>2.1996562876407317</v>
      </c>
      <c r="AL46" s="30">
        <v>15.215989658952495</v>
      </c>
      <c r="AM46" s="30">
        <v>0.98922950812295385</v>
      </c>
      <c r="AN46" s="55">
        <v>13681.400596941692</v>
      </c>
      <c r="AO46" s="55">
        <v>1185.5180937214889</v>
      </c>
      <c r="AP46" s="55">
        <v>1760.5381041045462</v>
      </c>
      <c r="AQ46" s="83">
        <v>47.240171508959229</v>
      </c>
    </row>
    <row r="47" spans="1:43" x14ac:dyDescent="0.2">
      <c r="A47" s="19"/>
      <c r="B47" s="12"/>
      <c r="C47" s="12"/>
      <c r="D47" s="53" t="s">
        <v>212</v>
      </c>
      <c r="N47" s="3">
        <v>4206</v>
      </c>
      <c r="O47" s="29">
        <v>6</v>
      </c>
      <c r="X47" s="41"/>
      <c r="Y47" s="71"/>
      <c r="Z47" s="109"/>
      <c r="AA47" s="109"/>
      <c r="AJ47" s="30"/>
      <c r="AK47" s="30"/>
      <c r="AL47" s="30"/>
      <c r="AM47" s="30"/>
    </row>
    <row r="48" spans="1:43" x14ac:dyDescent="0.2">
      <c r="A48" s="19"/>
      <c r="B48" s="12"/>
      <c r="C48" s="12"/>
      <c r="D48" s="53" t="s">
        <v>212</v>
      </c>
      <c r="N48" s="3">
        <v>4219</v>
      </c>
      <c r="O48" s="29">
        <v>7</v>
      </c>
      <c r="X48" s="41"/>
      <c r="Y48" s="71"/>
      <c r="Z48" s="109"/>
      <c r="AA48" s="109"/>
      <c r="AJ48" s="30"/>
      <c r="AK48" s="30"/>
      <c r="AL48" s="30"/>
      <c r="AM48" s="30"/>
    </row>
    <row r="49" spans="1:43" x14ac:dyDescent="0.2">
      <c r="A49" s="19"/>
      <c r="B49" s="12" t="s">
        <v>42</v>
      </c>
      <c r="C49" s="12" t="s">
        <v>63</v>
      </c>
      <c r="D49" s="53" t="s">
        <v>212</v>
      </c>
      <c r="N49" s="3">
        <v>4362</v>
      </c>
      <c r="O49" s="29">
        <v>7</v>
      </c>
      <c r="V49" s="70">
        <v>5.7023435884906686</v>
      </c>
      <c r="W49" s="42">
        <v>0.71088136152114001</v>
      </c>
      <c r="X49" s="41">
        <v>9.7475958777618263E-3</v>
      </c>
      <c r="Y49" s="71">
        <v>9.7475958777618261E-4</v>
      </c>
      <c r="Z49" s="12">
        <v>1078</v>
      </c>
      <c r="AA49" s="12">
        <v>70</v>
      </c>
      <c r="AB49" s="82">
        <v>87.89013594975745</v>
      </c>
      <c r="AC49" s="30">
        <v>2.4228256460640489</v>
      </c>
      <c r="AD49" s="56">
        <v>167.49229669701148</v>
      </c>
      <c r="AE49" s="30">
        <v>3.664815022286251</v>
      </c>
      <c r="AF49" s="56">
        <v>0.52474136233708746</v>
      </c>
      <c r="AG49" s="57">
        <f t="shared" ref="AG49:AG50" si="6">AF49*SQRT((AC49/AB49)^2+(AE49/AD49)^2)</f>
        <v>1.8468134483360526E-2</v>
      </c>
      <c r="AH49" s="30">
        <v>1646.7020470053069</v>
      </c>
      <c r="AI49" s="30">
        <v>104.71177529256539</v>
      </c>
      <c r="AJ49" s="30">
        <v>177.5671616886367</v>
      </c>
      <c r="AK49" s="30">
        <v>6.2934361959356169</v>
      </c>
      <c r="AL49" s="30">
        <v>38.781463998781973</v>
      </c>
      <c r="AM49" s="30">
        <v>0.76855473887531922</v>
      </c>
      <c r="AN49" s="55">
        <v>13028.177226265432</v>
      </c>
      <c r="AO49" s="55">
        <v>1092.0201186767563</v>
      </c>
      <c r="AP49" s="55">
        <v>3191.1048644318803</v>
      </c>
      <c r="AQ49" s="83">
        <v>51.542239894960716</v>
      </c>
    </row>
    <row r="50" spans="1:43" x14ac:dyDescent="0.2">
      <c r="A50" s="19"/>
      <c r="B50" s="12"/>
      <c r="C50" s="12"/>
      <c r="D50" s="53" t="s">
        <v>212</v>
      </c>
      <c r="N50" s="3">
        <v>4366</v>
      </c>
      <c r="O50" s="29">
        <v>5</v>
      </c>
      <c r="V50" s="70">
        <v>11.119397094476497</v>
      </c>
      <c r="W50" s="42">
        <v>1.8882351063594627</v>
      </c>
      <c r="X50" s="41">
        <v>1.9007516400814526E-2</v>
      </c>
      <c r="Y50" s="71">
        <v>1.9007516400814525E-3</v>
      </c>
      <c r="Z50" s="109">
        <v>1069</v>
      </c>
      <c r="AA50" s="109">
        <v>70</v>
      </c>
      <c r="AB50" s="82">
        <v>145.32461224867177</v>
      </c>
      <c r="AC50" s="30">
        <v>3.1046732985253458</v>
      </c>
      <c r="AD50" s="56">
        <v>303.12213443379977</v>
      </c>
      <c r="AE50" s="30">
        <v>4.0352144859717587</v>
      </c>
      <c r="AF50" s="56">
        <v>0.47942593344469164</v>
      </c>
      <c r="AG50" s="57">
        <f t="shared" si="6"/>
        <v>1.2068039252478898E-2</v>
      </c>
      <c r="AH50" s="30">
        <v>1689.4617134192567</v>
      </c>
      <c r="AI50" s="30">
        <v>97.236118818436111</v>
      </c>
      <c r="AJ50" s="30">
        <v>167.79576172200896</v>
      </c>
      <c r="AK50" s="30">
        <v>7.6184805943163161</v>
      </c>
      <c r="AL50" s="30">
        <v>67.382890246041399</v>
      </c>
      <c r="AM50" s="30">
        <v>17.339639588867321</v>
      </c>
      <c r="AN50" s="55">
        <v>13137.047788044809</v>
      </c>
      <c r="AO50" s="55">
        <v>1212.2320042219637</v>
      </c>
      <c r="AP50" s="55">
        <v>3233.3999232594024</v>
      </c>
      <c r="AQ50" s="83">
        <v>56.751617824384446</v>
      </c>
    </row>
    <row r="51" spans="1:43" x14ac:dyDescent="0.2">
      <c r="A51" s="19"/>
      <c r="B51" s="12"/>
      <c r="C51" s="12"/>
      <c r="D51" s="53" t="s">
        <v>212</v>
      </c>
      <c r="N51" s="3">
        <v>4367</v>
      </c>
      <c r="O51" s="29">
        <v>9</v>
      </c>
      <c r="X51" s="41"/>
      <c r="Y51" s="71"/>
      <c r="Z51" s="30"/>
      <c r="AA51" s="30"/>
      <c r="AJ51" s="30"/>
      <c r="AK51" s="30"/>
      <c r="AL51" s="30"/>
      <c r="AM51" s="30"/>
    </row>
    <row r="52" spans="1:43" x14ac:dyDescent="0.2">
      <c r="A52" s="19"/>
      <c r="B52" s="12"/>
      <c r="C52" s="12"/>
      <c r="D52" s="53" t="s">
        <v>212</v>
      </c>
      <c r="N52" s="3">
        <v>4368</v>
      </c>
      <c r="O52" s="29">
        <v>5</v>
      </c>
      <c r="X52" s="41"/>
      <c r="Y52" s="71"/>
      <c r="Z52" s="30"/>
      <c r="AA52" s="30"/>
      <c r="AJ52" s="30"/>
      <c r="AK52" s="30"/>
      <c r="AL52" s="30"/>
      <c r="AM52" s="30"/>
    </row>
    <row r="53" spans="1:43" x14ac:dyDescent="0.2">
      <c r="A53" s="19"/>
      <c r="B53" s="12"/>
      <c r="C53" s="12"/>
      <c r="D53" s="53" t="s">
        <v>212</v>
      </c>
      <c r="N53" s="3">
        <v>4369</v>
      </c>
      <c r="O53" s="29">
        <v>6</v>
      </c>
      <c r="X53" s="41"/>
      <c r="Y53" s="71"/>
      <c r="Z53" s="30"/>
      <c r="AA53" s="30"/>
      <c r="AJ53" s="30"/>
      <c r="AK53" s="30"/>
      <c r="AL53" s="30"/>
      <c r="AM53" s="30"/>
    </row>
    <row r="54" spans="1:43" x14ac:dyDescent="0.2">
      <c r="A54" s="19"/>
      <c r="B54" s="12" t="s">
        <v>43</v>
      </c>
      <c r="C54" s="12" t="s">
        <v>47</v>
      </c>
      <c r="D54" s="53" t="s">
        <v>212</v>
      </c>
      <c r="N54" s="3">
        <v>4341</v>
      </c>
      <c r="O54" s="29">
        <v>5</v>
      </c>
      <c r="V54" s="70">
        <v>11.181642203386646</v>
      </c>
      <c r="W54" s="42">
        <v>1.51644003612013</v>
      </c>
      <c r="X54" s="41">
        <v>1.9113918296387429E-2</v>
      </c>
      <c r="Y54" s="71">
        <v>1.9113918296387428E-3</v>
      </c>
      <c r="Z54" s="30">
        <v>1038</v>
      </c>
      <c r="AA54" s="30">
        <v>70</v>
      </c>
      <c r="AB54" s="82">
        <v>88.658854339988565</v>
      </c>
      <c r="AC54" s="30">
        <v>4.5951674648422713</v>
      </c>
      <c r="AD54" s="56">
        <v>163.50824090630712</v>
      </c>
      <c r="AE54" s="30">
        <v>7.6078561088180612</v>
      </c>
      <c r="AF54" s="56">
        <v>0.54222865984346025</v>
      </c>
      <c r="AG54" s="57">
        <f t="shared" ref="AG54" si="7">AF54*SQRT((AC54/AB54)^2+(AE54/AD54)^2)</f>
        <v>3.7766767299470004E-2</v>
      </c>
      <c r="AH54" s="30">
        <v>2274.450341167551</v>
      </c>
      <c r="AI54" s="30">
        <v>138.01522465309162</v>
      </c>
      <c r="AJ54" s="30">
        <v>136.87969297513763</v>
      </c>
      <c r="AK54" s="30">
        <v>5.0064932537342335</v>
      </c>
      <c r="AL54" s="30">
        <v>30.076682097442141</v>
      </c>
      <c r="AM54" s="30">
        <v>0.66695735296703629</v>
      </c>
      <c r="AN54" s="55">
        <v>14770.106214735462</v>
      </c>
      <c r="AO54" s="55">
        <v>1238.2410406224742</v>
      </c>
      <c r="AP54" s="55">
        <v>3862.6984476408993</v>
      </c>
      <c r="AQ54" s="83">
        <v>67.850725466406132</v>
      </c>
    </row>
    <row r="55" spans="1:43" s="2" customFormat="1" x14ac:dyDescent="0.2">
      <c r="A55" s="66"/>
      <c r="D55" s="66" t="s">
        <v>212</v>
      </c>
      <c r="N55" s="99">
        <v>4361</v>
      </c>
      <c r="O55" s="100">
        <v>6</v>
      </c>
      <c r="U55" s="67"/>
      <c r="V55" s="66"/>
      <c r="Y55" s="67"/>
      <c r="Z55" s="5"/>
      <c r="AA55" s="5"/>
      <c r="AB55" s="49"/>
      <c r="AC55" s="5"/>
      <c r="AD55" s="5"/>
      <c r="AE55" s="5"/>
      <c r="AF55" s="5"/>
      <c r="AG55" s="5"/>
      <c r="AQ55" s="67"/>
    </row>
    <row r="56" spans="1:43" x14ac:dyDescent="0.2">
      <c r="N56" s="3"/>
      <c r="O56" s="29"/>
    </row>
    <row r="57" spans="1:43" x14ac:dyDescent="0.2">
      <c r="N57" s="98"/>
      <c r="O57" s="34"/>
    </row>
    <row r="58" spans="1:43" x14ac:dyDescent="0.2">
      <c r="N58" s="3"/>
      <c r="O58" s="29"/>
    </row>
    <row r="59" spans="1:43" x14ac:dyDescent="0.2">
      <c r="N59" s="3"/>
      <c r="O59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B285-9430-1146-BEC4-CD11FFA9AC0F}">
  <dimension ref="A1:R6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14" activeCellId="1" sqref="P40 G14"/>
    </sheetView>
  </sheetViews>
  <sheetFormatPr baseColWidth="10" defaultColWidth="10.83203125" defaultRowHeight="16" x14ac:dyDescent="0.2"/>
  <cols>
    <col min="1" max="2" width="10.83203125" style="1"/>
    <col min="3" max="3" width="17" style="1" customWidth="1"/>
    <col min="4" max="5" width="10.83203125" style="3"/>
    <col min="6" max="16384" width="10.83203125" style="1"/>
  </cols>
  <sheetData>
    <row r="1" spans="1:18" s="26" customFormat="1" ht="19" customHeight="1" x14ac:dyDescent="0.2">
      <c r="A1" s="39" t="s">
        <v>239</v>
      </c>
      <c r="D1" s="73"/>
      <c r="E1" s="73"/>
    </row>
    <row r="2" spans="1:18" s="86" customFormat="1" ht="18" x14ac:dyDescent="0.25">
      <c r="A2" s="20" t="s">
        <v>7</v>
      </c>
      <c r="B2" s="9" t="s">
        <v>8</v>
      </c>
      <c r="C2" s="9" t="s">
        <v>9</v>
      </c>
      <c r="D2" s="6" t="s">
        <v>99</v>
      </c>
      <c r="E2" s="6" t="s">
        <v>5</v>
      </c>
      <c r="F2" s="9" t="s">
        <v>100</v>
      </c>
      <c r="G2" s="9" t="s">
        <v>101</v>
      </c>
      <c r="H2" s="9" t="s">
        <v>102</v>
      </c>
      <c r="I2" s="9" t="s">
        <v>103</v>
      </c>
      <c r="J2" s="9" t="s">
        <v>94</v>
      </c>
      <c r="K2" s="9" t="s">
        <v>95</v>
      </c>
      <c r="L2" s="9" t="s">
        <v>96</v>
      </c>
      <c r="M2" s="9" t="s">
        <v>97</v>
      </c>
      <c r="N2" s="9" t="s">
        <v>104</v>
      </c>
      <c r="O2" s="9" t="s">
        <v>105</v>
      </c>
      <c r="P2" s="9" t="s">
        <v>98</v>
      </c>
      <c r="Q2" s="155" t="s">
        <v>234</v>
      </c>
      <c r="R2" s="37" t="s">
        <v>50</v>
      </c>
    </row>
    <row r="3" spans="1:18" s="2" customFormat="1" x14ac:dyDescent="0.2">
      <c r="A3" s="66"/>
      <c r="D3" s="5"/>
      <c r="E3" s="7" t="s">
        <v>110</v>
      </c>
      <c r="F3" s="7" t="s">
        <v>106</v>
      </c>
      <c r="G3" s="7" t="s">
        <v>106</v>
      </c>
      <c r="H3" s="7" t="s">
        <v>106</v>
      </c>
      <c r="I3" s="7" t="s">
        <v>106</v>
      </c>
      <c r="J3" s="7" t="s">
        <v>106</v>
      </c>
      <c r="K3" s="7" t="s">
        <v>106</v>
      </c>
      <c r="L3" s="7" t="s">
        <v>106</v>
      </c>
      <c r="M3" s="7" t="s">
        <v>106</v>
      </c>
      <c r="N3" s="7" t="s">
        <v>106</v>
      </c>
      <c r="O3" s="7" t="s">
        <v>106</v>
      </c>
      <c r="P3" s="7" t="s">
        <v>106</v>
      </c>
    </row>
    <row r="4" spans="1:18" s="47" customFormat="1" x14ac:dyDescent="0.2">
      <c r="A4" s="60" t="s">
        <v>21</v>
      </c>
      <c r="B4" s="61" t="s">
        <v>23</v>
      </c>
      <c r="C4" s="61" t="s">
        <v>25</v>
      </c>
      <c r="D4" s="4" t="s">
        <v>122</v>
      </c>
      <c r="E4" s="4" t="s">
        <v>138</v>
      </c>
      <c r="F4" s="87">
        <v>77.841300000000004</v>
      </c>
      <c r="G4" s="87">
        <v>0.55101599999999995</v>
      </c>
      <c r="H4" s="87">
        <v>12.1287</v>
      </c>
      <c r="I4" s="87" t="s">
        <v>107</v>
      </c>
      <c r="J4" s="87">
        <v>0.71668500000000002</v>
      </c>
      <c r="K4" s="87" t="s">
        <v>109</v>
      </c>
      <c r="L4" s="87" t="s">
        <v>108</v>
      </c>
      <c r="M4" s="87">
        <v>0.47020800000000001</v>
      </c>
      <c r="N4" s="87">
        <v>0.66267200000000004</v>
      </c>
      <c r="O4" s="87">
        <v>9.4263100000000009</v>
      </c>
      <c r="P4" s="87">
        <v>101.796891</v>
      </c>
      <c r="Q4" s="41">
        <v>0.2662202025071353</v>
      </c>
      <c r="R4" s="41">
        <v>5.5906242526498418E-3</v>
      </c>
    </row>
    <row r="5" spans="1:18" x14ac:dyDescent="0.2">
      <c r="A5" s="19"/>
      <c r="B5" s="12" t="s">
        <v>22</v>
      </c>
      <c r="C5" s="12" t="s">
        <v>26</v>
      </c>
      <c r="D5" s="3" t="s">
        <v>124</v>
      </c>
      <c r="E5" s="3" t="s">
        <v>139</v>
      </c>
      <c r="F5" s="42">
        <v>76.435400000000001</v>
      </c>
      <c r="G5" s="42">
        <v>0.621166</v>
      </c>
      <c r="H5" s="42">
        <v>13.548299999999999</v>
      </c>
      <c r="I5" s="42" t="s">
        <v>107</v>
      </c>
      <c r="J5" s="42">
        <v>0.72685</v>
      </c>
      <c r="K5" s="42" t="s">
        <v>109</v>
      </c>
      <c r="L5" s="42" t="s">
        <v>108</v>
      </c>
      <c r="M5" s="42">
        <v>0.53123699999999996</v>
      </c>
      <c r="N5" s="42">
        <v>1.3135699999999999</v>
      </c>
      <c r="O5" s="42">
        <v>8.7153899999999993</v>
      </c>
      <c r="P5" s="42">
        <v>101.891913</v>
      </c>
      <c r="Q5" s="41">
        <v>0.28654433208554647</v>
      </c>
      <c r="R5" s="41">
        <v>6.0174309737964764E-3</v>
      </c>
    </row>
    <row r="6" spans="1:18" x14ac:dyDescent="0.2">
      <c r="A6" s="19"/>
      <c r="B6" s="12"/>
      <c r="C6" s="12"/>
      <c r="D6" s="3" t="s">
        <v>111</v>
      </c>
      <c r="E6" s="3" t="s">
        <v>140</v>
      </c>
      <c r="F6" s="42">
        <v>69.649600000000007</v>
      </c>
      <c r="G6" s="42">
        <v>0.70466700000000004</v>
      </c>
      <c r="H6" s="42">
        <v>11.9627</v>
      </c>
      <c r="I6" s="42" t="s">
        <v>107</v>
      </c>
      <c r="J6" s="42">
        <v>1.88592</v>
      </c>
      <c r="K6" s="42" t="s">
        <v>109</v>
      </c>
      <c r="L6" s="42">
        <v>2.2782E-2</v>
      </c>
      <c r="M6" s="42">
        <v>0.43027100000000001</v>
      </c>
      <c r="N6" s="42">
        <v>0.51325600000000005</v>
      </c>
      <c r="O6" s="42">
        <v>10.195</v>
      </c>
      <c r="P6" s="42">
        <v>95.364196000000021</v>
      </c>
      <c r="Q6" s="41">
        <v>0.2954880635844867</v>
      </c>
      <c r="R6" s="41">
        <v>6.2052493352742211E-3</v>
      </c>
    </row>
    <row r="7" spans="1:18" x14ac:dyDescent="0.2">
      <c r="A7" s="19"/>
      <c r="B7" s="12"/>
      <c r="C7" s="12"/>
      <c r="D7" s="3" t="s">
        <v>126</v>
      </c>
      <c r="E7" s="3" t="s">
        <v>139</v>
      </c>
      <c r="F7" s="42">
        <v>71.1053</v>
      </c>
      <c r="G7" s="42">
        <v>0.51805800000000002</v>
      </c>
      <c r="H7" s="42">
        <v>12.948</v>
      </c>
      <c r="I7" s="42" t="s">
        <v>107</v>
      </c>
      <c r="J7" s="42">
        <v>0.61789300000000003</v>
      </c>
      <c r="K7" s="42" t="s">
        <v>109</v>
      </c>
      <c r="L7" s="42" t="s">
        <v>108</v>
      </c>
      <c r="M7" s="42">
        <v>0.65615100000000004</v>
      </c>
      <c r="N7" s="42">
        <v>1.4493799999999999</v>
      </c>
      <c r="O7" s="42">
        <v>8.7905899999999999</v>
      </c>
      <c r="P7" s="42">
        <v>96.085371999999992</v>
      </c>
      <c r="Q7" s="41">
        <v>0.29399999999999998</v>
      </c>
      <c r="R7" s="41">
        <v>6.1739999999999998E-3</v>
      </c>
    </row>
    <row r="8" spans="1:18" x14ac:dyDescent="0.2">
      <c r="A8" s="19"/>
      <c r="B8" s="12"/>
      <c r="C8" s="12"/>
      <c r="D8" s="3" t="s">
        <v>125</v>
      </c>
      <c r="E8" s="3" t="s">
        <v>139</v>
      </c>
      <c r="F8" s="42">
        <v>72.327799999999996</v>
      </c>
      <c r="G8" s="42">
        <v>0.50979699999999994</v>
      </c>
      <c r="H8" s="42">
        <v>12.7865</v>
      </c>
      <c r="I8" s="42" t="s">
        <v>107</v>
      </c>
      <c r="J8" s="42">
        <v>0.69345000000000001</v>
      </c>
      <c r="K8" s="42" t="s">
        <v>109</v>
      </c>
      <c r="L8" s="42" t="s">
        <v>108</v>
      </c>
      <c r="M8" s="42">
        <v>0.46580500000000002</v>
      </c>
      <c r="N8" s="42">
        <v>1.4312199999999999</v>
      </c>
      <c r="O8" s="42">
        <v>8.7225900000000003</v>
      </c>
      <c r="P8" s="42">
        <v>96.937162000000001</v>
      </c>
      <c r="Q8" s="41">
        <v>0.30099999999999999</v>
      </c>
      <c r="R8" s="41">
        <v>6.3210000000000002E-3</v>
      </c>
    </row>
    <row r="9" spans="1:18" x14ac:dyDescent="0.2">
      <c r="A9" s="19"/>
      <c r="B9" s="12"/>
      <c r="C9" s="12"/>
      <c r="D9" s="3" t="s">
        <v>112</v>
      </c>
      <c r="E9" s="3" t="s">
        <v>139</v>
      </c>
      <c r="F9" s="42">
        <v>71.618399999999994</v>
      </c>
      <c r="G9" s="42">
        <v>0.29650199999999999</v>
      </c>
      <c r="H9" s="42">
        <v>12.7812</v>
      </c>
      <c r="I9" s="42" t="s">
        <v>107</v>
      </c>
      <c r="J9" s="42">
        <v>0.72859099999999999</v>
      </c>
      <c r="K9" s="42" t="s">
        <v>109</v>
      </c>
      <c r="L9" s="42" t="s">
        <v>108</v>
      </c>
      <c r="M9" s="42">
        <v>0.55031699999999995</v>
      </c>
      <c r="N9" s="42">
        <v>1.56931</v>
      </c>
      <c r="O9" s="42">
        <v>8.1887399999999992</v>
      </c>
      <c r="P9" s="42">
        <v>95.733059999999995</v>
      </c>
      <c r="Q9" s="41">
        <v>0.29699999999999999</v>
      </c>
      <c r="R9" s="41">
        <v>6.2370000000000004E-3</v>
      </c>
    </row>
    <row r="10" spans="1:18" x14ac:dyDescent="0.2">
      <c r="A10" s="19"/>
      <c r="B10" s="12"/>
      <c r="C10" s="12"/>
      <c r="D10" s="3" t="s">
        <v>127</v>
      </c>
      <c r="E10" s="3" t="s">
        <v>139</v>
      </c>
      <c r="F10" s="42">
        <v>71.331500000000005</v>
      </c>
      <c r="G10" s="42">
        <v>0.48988399999999999</v>
      </c>
      <c r="H10" s="42">
        <v>12.8599</v>
      </c>
      <c r="I10" s="42" t="s">
        <v>107</v>
      </c>
      <c r="J10" s="42">
        <v>0.76218600000000003</v>
      </c>
      <c r="K10" s="42" t="s">
        <v>109</v>
      </c>
      <c r="L10" s="42" t="s">
        <v>108</v>
      </c>
      <c r="M10" s="42">
        <v>0.58138199999999995</v>
      </c>
      <c r="N10" s="42">
        <v>1.3851199999999999</v>
      </c>
      <c r="O10" s="42">
        <v>8.6933299999999996</v>
      </c>
      <c r="P10" s="42">
        <v>96.103302000000014</v>
      </c>
      <c r="Q10" s="41">
        <v>0.29899999999999999</v>
      </c>
      <c r="R10" s="41">
        <v>6.2789999999999999E-3</v>
      </c>
    </row>
    <row r="11" spans="1:18" x14ac:dyDescent="0.2">
      <c r="A11" s="19"/>
      <c r="B11" s="12"/>
      <c r="C11" s="12"/>
      <c r="D11" s="3" t="s">
        <v>113</v>
      </c>
      <c r="E11" s="3" t="s">
        <v>140</v>
      </c>
      <c r="F11" s="42">
        <v>74.767899999999997</v>
      </c>
      <c r="G11" s="42">
        <v>0.57905600000000002</v>
      </c>
      <c r="H11" s="42">
        <v>12.3085</v>
      </c>
      <c r="I11" s="42" t="s">
        <v>107</v>
      </c>
      <c r="J11" s="42">
        <v>0.49779899999999999</v>
      </c>
      <c r="K11" s="42" t="s">
        <v>109</v>
      </c>
      <c r="L11" s="42">
        <v>2.1271000000000002E-2</v>
      </c>
      <c r="M11" s="42">
        <v>0.49291200000000002</v>
      </c>
      <c r="N11" s="42">
        <v>1.4254</v>
      </c>
      <c r="O11" s="42">
        <v>8.0103899999999992</v>
      </c>
      <c r="P11" s="42">
        <v>98.103227999999987</v>
      </c>
      <c r="Q11" s="41">
        <v>0.27900000000000003</v>
      </c>
      <c r="R11" s="41">
        <v>5.8590000000000005E-3</v>
      </c>
    </row>
    <row r="12" spans="1:18" x14ac:dyDescent="0.2">
      <c r="A12" s="19"/>
      <c r="B12" s="12"/>
      <c r="C12" s="12"/>
      <c r="D12" s="3" t="s">
        <v>114</v>
      </c>
      <c r="E12" s="3" t="s">
        <v>140</v>
      </c>
      <c r="F12" s="42">
        <v>73.469700000000003</v>
      </c>
      <c r="G12" s="42">
        <v>0.67408999999999997</v>
      </c>
      <c r="H12" s="42">
        <v>11.827400000000001</v>
      </c>
      <c r="I12" s="42" t="s">
        <v>107</v>
      </c>
      <c r="J12" s="42">
        <v>0.69476300000000002</v>
      </c>
      <c r="K12" s="42" t="s">
        <v>109</v>
      </c>
      <c r="L12" s="42" t="s">
        <v>108</v>
      </c>
      <c r="M12" s="42">
        <v>0.39168900000000001</v>
      </c>
      <c r="N12" s="42">
        <v>1.08945</v>
      </c>
      <c r="O12" s="42">
        <v>8.4997799999999994</v>
      </c>
      <c r="P12" s="42">
        <v>96.646872000000002</v>
      </c>
      <c r="Q12" s="41">
        <v>0.27853536133364043</v>
      </c>
      <c r="R12" s="41">
        <v>5.8492425880064492E-3</v>
      </c>
    </row>
    <row r="13" spans="1:18" x14ac:dyDescent="0.2">
      <c r="A13" s="19"/>
      <c r="B13" s="12"/>
      <c r="C13" s="12"/>
      <c r="D13" s="3" t="s">
        <v>128</v>
      </c>
      <c r="E13" s="3" t="s">
        <v>139</v>
      </c>
      <c r="F13" s="42">
        <v>73.011799999999994</v>
      </c>
      <c r="G13" s="42">
        <v>0.51655300000000004</v>
      </c>
      <c r="H13" s="42">
        <v>12.942399999999999</v>
      </c>
      <c r="I13" s="42" t="s">
        <v>107</v>
      </c>
      <c r="J13" s="42">
        <v>0.629444</v>
      </c>
      <c r="K13" s="42" t="s">
        <v>109</v>
      </c>
      <c r="L13" s="42" t="s">
        <v>108</v>
      </c>
      <c r="M13" s="42">
        <v>0.47033199999999997</v>
      </c>
      <c r="N13" s="42">
        <v>1.61025</v>
      </c>
      <c r="O13" s="42">
        <v>7.8768700000000003</v>
      </c>
      <c r="P13" s="42">
        <v>97.057648999999998</v>
      </c>
      <c r="Q13" s="41">
        <v>0.29319618584720247</v>
      </c>
      <c r="R13" s="41">
        <v>6.1571199027912523E-3</v>
      </c>
    </row>
    <row r="14" spans="1:18" x14ac:dyDescent="0.2">
      <c r="A14" s="19"/>
      <c r="B14" s="12"/>
      <c r="C14" s="12"/>
      <c r="D14" s="3" t="s">
        <v>129</v>
      </c>
      <c r="E14" s="3" t="s">
        <v>139</v>
      </c>
      <c r="F14" s="42">
        <v>71.876800000000003</v>
      </c>
      <c r="G14" s="42">
        <v>0.48036499999999999</v>
      </c>
      <c r="H14" s="42">
        <v>12.509499999999999</v>
      </c>
      <c r="I14" s="42" t="s">
        <v>107</v>
      </c>
      <c r="J14" s="42">
        <v>0.70027200000000001</v>
      </c>
      <c r="K14" s="42" t="s">
        <v>109</v>
      </c>
      <c r="L14" s="42" t="s">
        <v>108</v>
      </c>
      <c r="M14" s="42">
        <v>0.59731100000000004</v>
      </c>
      <c r="N14" s="42">
        <v>1.5497399999999999</v>
      </c>
      <c r="O14" s="42">
        <v>7.4443900000000003</v>
      </c>
      <c r="P14" s="42">
        <v>95.158378000000013</v>
      </c>
      <c r="Q14" s="41">
        <v>0.29280278599336085</v>
      </c>
      <c r="R14" s="41">
        <v>6.1488585058605784E-3</v>
      </c>
    </row>
    <row r="15" spans="1:18" x14ac:dyDescent="0.2">
      <c r="A15" s="19"/>
      <c r="B15" s="12"/>
      <c r="C15" s="12"/>
      <c r="D15" s="3" t="s">
        <v>115</v>
      </c>
      <c r="E15" s="3" t="s">
        <v>140</v>
      </c>
      <c r="F15" s="42">
        <v>71.818700000000007</v>
      </c>
      <c r="G15" s="42">
        <v>0.63720600000000005</v>
      </c>
      <c r="H15" s="42">
        <v>12.988099999999999</v>
      </c>
      <c r="I15" s="42" t="s">
        <v>107</v>
      </c>
      <c r="J15" s="42">
        <v>1.13344</v>
      </c>
      <c r="K15" s="42" t="s">
        <v>109</v>
      </c>
      <c r="L15" s="42">
        <v>2.5895999999999999E-2</v>
      </c>
      <c r="M15" s="42">
        <v>0.19828899999999999</v>
      </c>
      <c r="N15" s="42">
        <v>0.43520399999999998</v>
      </c>
      <c r="O15" s="42">
        <v>11.4672</v>
      </c>
      <c r="P15" s="42">
        <v>98.704035000000019</v>
      </c>
      <c r="Q15" s="41">
        <v>0.29859273377170054</v>
      </c>
      <c r="R15" s="41">
        <v>6.270447409205712E-3</v>
      </c>
    </row>
    <row r="16" spans="1:18" x14ac:dyDescent="0.2">
      <c r="A16" s="19"/>
      <c r="B16" s="12"/>
      <c r="C16" s="12"/>
      <c r="D16" s="3" t="s">
        <v>116</v>
      </c>
      <c r="E16" s="3" t="s">
        <v>140</v>
      </c>
      <c r="F16" s="42">
        <v>75.180999999999997</v>
      </c>
      <c r="G16" s="42">
        <v>0.58534399999999998</v>
      </c>
      <c r="H16" s="42">
        <v>12.418900000000001</v>
      </c>
      <c r="I16" s="42" t="s">
        <v>107</v>
      </c>
      <c r="J16" s="42">
        <v>0.65278000000000003</v>
      </c>
      <c r="K16" s="42" t="s">
        <v>109</v>
      </c>
      <c r="L16" s="42" t="s">
        <v>108</v>
      </c>
      <c r="M16" s="42">
        <v>0.74285299999999999</v>
      </c>
      <c r="N16" s="42">
        <v>1.38862</v>
      </c>
      <c r="O16" s="42">
        <v>8.5688200000000005</v>
      </c>
      <c r="P16" s="42">
        <v>99.538317000000021</v>
      </c>
      <c r="Q16" s="41">
        <v>0.27900000000000003</v>
      </c>
      <c r="R16" s="41">
        <v>5.8590000000000005E-3</v>
      </c>
    </row>
    <row r="17" spans="1:18" x14ac:dyDescent="0.2">
      <c r="A17" s="19"/>
      <c r="B17" s="12"/>
      <c r="C17" s="12"/>
      <c r="D17" s="3" t="s">
        <v>117</v>
      </c>
      <c r="E17" s="3" t="s">
        <v>140</v>
      </c>
      <c r="F17" s="42">
        <v>75.377499999999998</v>
      </c>
      <c r="G17" s="42">
        <v>0.59443000000000001</v>
      </c>
      <c r="H17" s="42">
        <v>12.3775</v>
      </c>
      <c r="I17" s="42" t="s">
        <v>107</v>
      </c>
      <c r="J17" s="42">
        <v>0.589453</v>
      </c>
      <c r="K17" s="42" t="s">
        <v>109</v>
      </c>
      <c r="L17" s="42" t="s">
        <v>108</v>
      </c>
      <c r="M17" s="42">
        <v>0.36926500000000001</v>
      </c>
      <c r="N17" s="42">
        <v>1.4993000000000001</v>
      </c>
      <c r="O17" s="42">
        <v>8.6790199999999995</v>
      </c>
      <c r="P17" s="42">
        <v>99.486468000000002</v>
      </c>
      <c r="Q17" s="41">
        <v>0.27800000000000002</v>
      </c>
      <c r="R17" s="41">
        <v>5.8380000000000012E-3</v>
      </c>
    </row>
    <row r="18" spans="1:18" x14ac:dyDescent="0.2">
      <c r="A18" s="19"/>
      <c r="B18" s="12"/>
      <c r="C18" s="12"/>
      <c r="D18" s="3" t="s">
        <v>118</v>
      </c>
      <c r="E18" s="3" t="s">
        <v>140</v>
      </c>
      <c r="F18" s="42">
        <v>76.185400000000001</v>
      </c>
      <c r="G18" s="42">
        <v>0.59925600000000001</v>
      </c>
      <c r="H18" s="42">
        <v>12.4316</v>
      </c>
      <c r="I18" s="42" t="s">
        <v>107</v>
      </c>
      <c r="J18" s="42">
        <v>0.62539699999999998</v>
      </c>
      <c r="K18" s="42" t="s">
        <v>109</v>
      </c>
      <c r="L18" s="42" t="s">
        <v>108</v>
      </c>
      <c r="M18" s="42">
        <v>0.43943399999999999</v>
      </c>
      <c r="N18" s="42">
        <v>1.48813</v>
      </c>
      <c r="O18" s="42">
        <v>7.9910399999999999</v>
      </c>
      <c r="P18" s="42">
        <v>99.76025700000001</v>
      </c>
      <c r="Q18" s="41">
        <v>0.27538211086135622</v>
      </c>
      <c r="R18" s="41">
        <v>5.7830243280884812E-3</v>
      </c>
    </row>
    <row r="19" spans="1:18" x14ac:dyDescent="0.2">
      <c r="A19" s="19"/>
      <c r="B19" s="12"/>
      <c r="C19" s="12"/>
      <c r="D19" s="3" t="s">
        <v>119</v>
      </c>
      <c r="E19" s="3" t="s">
        <v>140</v>
      </c>
      <c r="F19" s="42">
        <v>74.746600000000001</v>
      </c>
      <c r="G19" s="42">
        <v>0.63261999999999996</v>
      </c>
      <c r="H19" s="42">
        <v>12.0944</v>
      </c>
      <c r="I19" s="42" t="s">
        <v>107</v>
      </c>
      <c r="J19" s="42">
        <v>0.64093299999999997</v>
      </c>
      <c r="K19" s="42" t="s">
        <v>109</v>
      </c>
      <c r="L19" s="42" t="s">
        <v>108</v>
      </c>
      <c r="M19" s="42">
        <v>0.57528900000000005</v>
      </c>
      <c r="N19" s="42">
        <v>1.5636000000000001</v>
      </c>
      <c r="O19" s="42">
        <v>7.8264300000000002</v>
      </c>
      <c r="P19" s="42">
        <v>98.079872000000009</v>
      </c>
      <c r="Q19" s="41">
        <v>0.2768500995895799</v>
      </c>
      <c r="R19" s="41">
        <v>5.8138520913811782E-3</v>
      </c>
    </row>
    <row r="20" spans="1:18" x14ac:dyDescent="0.2">
      <c r="A20" s="19"/>
      <c r="B20" s="12"/>
      <c r="C20" s="12"/>
      <c r="D20" s="3" t="s">
        <v>120</v>
      </c>
      <c r="E20" s="3" t="s">
        <v>140</v>
      </c>
      <c r="F20" s="42">
        <v>78.105400000000003</v>
      </c>
      <c r="G20" s="42">
        <v>0.66601399999999999</v>
      </c>
      <c r="H20" s="42">
        <v>12.1364</v>
      </c>
      <c r="I20" s="42" t="s">
        <v>107</v>
      </c>
      <c r="J20" s="42">
        <v>0.67289299999999996</v>
      </c>
      <c r="K20" s="42" t="s">
        <v>109</v>
      </c>
      <c r="L20" s="42" t="s">
        <v>108</v>
      </c>
      <c r="M20" s="42">
        <v>0.48815399999999998</v>
      </c>
      <c r="N20" s="42">
        <v>1.2471399999999999</v>
      </c>
      <c r="O20" s="42">
        <v>8.6006400000000003</v>
      </c>
      <c r="P20" s="42">
        <v>101.916641</v>
      </c>
      <c r="Q20" s="41">
        <v>0.26540423148335862</v>
      </c>
      <c r="R20" s="41">
        <v>5.5734888611505317E-3</v>
      </c>
    </row>
    <row r="21" spans="1:18" x14ac:dyDescent="0.2">
      <c r="A21" s="19"/>
      <c r="B21" s="12" t="s">
        <v>24</v>
      </c>
      <c r="C21" s="12" t="s">
        <v>27</v>
      </c>
      <c r="D21" s="3" t="s">
        <v>121</v>
      </c>
      <c r="E21" s="3" t="s">
        <v>139</v>
      </c>
      <c r="F21" s="88">
        <v>74.907799999999995</v>
      </c>
      <c r="G21" s="88">
        <v>0.71869799999999995</v>
      </c>
      <c r="H21" s="88">
        <v>12.828900000000001</v>
      </c>
      <c r="I21" s="88" t="s">
        <v>107</v>
      </c>
      <c r="J21" s="88">
        <v>0.78522899999999995</v>
      </c>
      <c r="K21" s="88">
        <v>8.3322999999999994E-2</v>
      </c>
      <c r="L21" s="88" t="s">
        <v>108</v>
      </c>
      <c r="M21" s="88">
        <v>0.55691000000000002</v>
      </c>
      <c r="N21" s="88">
        <v>1.29158</v>
      </c>
      <c r="O21" s="88">
        <v>8.4960500000000003</v>
      </c>
      <c r="P21" s="88">
        <v>99.668489999999991</v>
      </c>
      <c r="Q21" s="41">
        <v>0.28451923375503235</v>
      </c>
      <c r="R21" s="41">
        <v>5.9749039088556801E-3</v>
      </c>
    </row>
    <row r="22" spans="1:18" s="47" customFormat="1" x14ac:dyDescent="0.2">
      <c r="A22" s="60" t="s">
        <v>29</v>
      </c>
      <c r="B22" s="61" t="s">
        <v>30</v>
      </c>
      <c r="C22" s="61" t="s">
        <v>32</v>
      </c>
      <c r="D22" s="4" t="s">
        <v>122</v>
      </c>
      <c r="E22" s="89" t="s">
        <v>140</v>
      </c>
      <c r="F22" s="45">
        <v>76.438900000000004</v>
      </c>
      <c r="G22" s="45">
        <v>0.72206800000000004</v>
      </c>
      <c r="H22" s="45">
        <v>11.399900000000001</v>
      </c>
      <c r="I22" s="45" t="s">
        <v>107</v>
      </c>
      <c r="J22" s="45">
        <v>0.38446900000000001</v>
      </c>
      <c r="K22" s="45" t="s">
        <v>109</v>
      </c>
      <c r="L22" s="45" t="s">
        <v>108</v>
      </c>
      <c r="M22" s="45">
        <v>0.36653200000000002</v>
      </c>
      <c r="N22" s="45">
        <v>1.5992200000000001</v>
      </c>
      <c r="O22" s="45">
        <v>7.0146199999999999</v>
      </c>
      <c r="P22" s="45">
        <v>97.925708999999998</v>
      </c>
      <c r="Q22" s="46">
        <v>0.26300000000000001</v>
      </c>
      <c r="R22" s="46">
        <v>5.523000000000001E-3</v>
      </c>
    </row>
    <row r="23" spans="1:18" x14ac:dyDescent="0.2">
      <c r="A23" s="19"/>
      <c r="B23" s="12"/>
      <c r="C23" s="12"/>
      <c r="D23" s="3" t="s">
        <v>123</v>
      </c>
      <c r="E23" s="3" t="s">
        <v>140</v>
      </c>
      <c r="F23" s="42">
        <v>75.046199999999999</v>
      </c>
      <c r="G23" s="42">
        <v>0.60853199999999996</v>
      </c>
      <c r="H23" s="42">
        <v>11.0617</v>
      </c>
      <c r="I23" s="42" t="s">
        <v>107</v>
      </c>
      <c r="J23" s="42">
        <v>0.50978500000000004</v>
      </c>
      <c r="K23" s="42" t="s">
        <v>109</v>
      </c>
      <c r="L23" s="42">
        <v>3.3043000000000003E-2</v>
      </c>
      <c r="M23" s="42">
        <v>0.32732600000000001</v>
      </c>
      <c r="N23" s="42">
        <v>1.55525</v>
      </c>
      <c r="O23" s="42">
        <v>7.2182599999999999</v>
      </c>
      <c r="P23" s="42">
        <v>96.360095999999999</v>
      </c>
      <c r="Q23" s="41">
        <v>0.26400000000000001</v>
      </c>
      <c r="R23" s="41">
        <v>5.5440000000000003E-3</v>
      </c>
    </row>
    <row r="24" spans="1:18" x14ac:dyDescent="0.2">
      <c r="A24" s="19"/>
      <c r="B24" s="12"/>
      <c r="C24" s="12"/>
      <c r="D24" s="3" t="s">
        <v>124</v>
      </c>
      <c r="E24" s="3" t="s">
        <v>140</v>
      </c>
      <c r="F24" s="42">
        <v>74.032399999999996</v>
      </c>
      <c r="G24" s="42">
        <v>0.66848399999999997</v>
      </c>
      <c r="H24" s="42">
        <v>11.567600000000001</v>
      </c>
      <c r="I24" s="42" t="s">
        <v>107</v>
      </c>
      <c r="J24" s="42">
        <v>0.51568999999999998</v>
      </c>
      <c r="K24" s="42" t="s">
        <v>109</v>
      </c>
      <c r="L24" s="42">
        <v>2.2485999999999999E-2</v>
      </c>
      <c r="M24" s="42">
        <v>0.42780200000000002</v>
      </c>
      <c r="N24" s="42">
        <v>1.51807</v>
      </c>
      <c r="O24" s="42">
        <v>7.4603099999999998</v>
      </c>
      <c r="P24" s="42">
        <v>96.212841999999995</v>
      </c>
      <c r="Q24" s="41">
        <v>0.27300000000000002</v>
      </c>
      <c r="R24" s="41">
        <v>5.7330000000000011E-3</v>
      </c>
    </row>
    <row r="25" spans="1:18" x14ac:dyDescent="0.2">
      <c r="A25" s="19"/>
      <c r="B25" s="12"/>
      <c r="C25" s="12"/>
      <c r="D25" s="3" t="s">
        <v>136</v>
      </c>
      <c r="E25" s="3" t="s">
        <v>140</v>
      </c>
      <c r="F25" s="42">
        <v>79.606099999999998</v>
      </c>
      <c r="G25" s="42">
        <v>0.79330400000000001</v>
      </c>
      <c r="H25" s="42">
        <v>11.1746</v>
      </c>
      <c r="I25" s="42" t="s">
        <v>107</v>
      </c>
      <c r="J25" s="42">
        <v>0.53226300000000004</v>
      </c>
      <c r="K25" s="42" t="s">
        <v>109</v>
      </c>
      <c r="L25" s="42" t="s">
        <v>108</v>
      </c>
      <c r="M25" s="42">
        <v>0.27942800000000001</v>
      </c>
      <c r="N25" s="42">
        <v>1.4369799999999999</v>
      </c>
      <c r="O25" s="42">
        <v>6.7337400000000001</v>
      </c>
      <c r="P25" s="42">
        <v>100.556415</v>
      </c>
      <c r="Q25" s="41">
        <v>0.25</v>
      </c>
      <c r="R25" s="41">
        <v>5.2500000000000003E-3</v>
      </c>
    </row>
    <row r="26" spans="1:18" x14ac:dyDescent="0.2">
      <c r="A26" s="19"/>
      <c r="B26" s="12"/>
      <c r="C26" s="12"/>
      <c r="D26" s="3" t="s">
        <v>137</v>
      </c>
      <c r="E26" s="3" t="s">
        <v>140</v>
      </c>
      <c r="F26" s="42">
        <v>76.307199999999995</v>
      </c>
      <c r="G26" s="42">
        <v>0.79310000000000003</v>
      </c>
      <c r="H26" s="42">
        <v>11.7028</v>
      </c>
      <c r="I26" s="42" t="s">
        <v>107</v>
      </c>
      <c r="J26" s="42">
        <v>0.51033300000000004</v>
      </c>
      <c r="K26" s="42" t="s">
        <v>109</v>
      </c>
      <c r="L26" s="42" t="s">
        <v>108</v>
      </c>
      <c r="M26" s="42">
        <v>0.43647000000000002</v>
      </c>
      <c r="N26" s="42">
        <v>1.55996</v>
      </c>
      <c r="O26" s="42">
        <v>6.9449899999999998</v>
      </c>
      <c r="P26" s="42">
        <v>98.254852999999997</v>
      </c>
      <c r="Q26" s="41">
        <v>0.26700000000000002</v>
      </c>
      <c r="R26" s="41">
        <v>5.6070000000000009E-3</v>
      </c>
    </row>
    <row r="27" spans="1:18" x14ac:dyDescent="0.2">
      <c r="A27" s="19"/>
      <c r="B27" s="12" t="s">
        <v>31</v>
      </c>
      <c r="C27" s="12" t="s">
        <v>33</v>
      </c>
      <c r="D27" s="3" t="s">
        <v>122</v>
      </c>
      <c r="E27" s="3" t="s">
        <v>140</v>
      </c>
      <c r="F27" s="42">
        <v>78.039299999999997</v>
      </c>
      <c r="G27" s="42">
        <v>0.87468199999999996</v>
      </c>
      <c r="H27" s="42">
        <v>11.742699999999999</v>
      </c>
      <c r="I27" s="42" t="s">
        <v>107</v>
      </c>
      <c r="J27" s="42">
        <v>0.60568999999999995</v>
      </c>
      <c r="K27" s="42" t="s">
        <v>109</v>
      </c>
      <c r="L27" s="42" t="s">
        <v>108</v>
      </c>
      <c r="M27" s="42">
        <v>0.46967300000000001</v>
      </c>
      <c r="N27" s="42">
        <v>1.7038599999999999</v>
      </c>
      <c r="O27" s="42">
        <v>7.6025999999999998</v>
      </c>
      <c r="P27" s="42">
        <v>101.038505</v>
      </c>
      <c r="Q27" s="41">
        <v>0.26600000000000001</v>
      </c>
      <c r="R27" s="41">
        <v>5.5860000000000007E-3</v>
      </c>
    </row>
    <row r="28" spans="1:18" x14ac:dyDescent="0.2">
      <c r="A28" s="19"/>
      <c r="B28" s="12"/>
      <c r="C28" s="12"/>
      <c r="D28" s="3" t="s">
        <v>123</v>
      </c>
      <c r="E28" s="3" t="s">
        <v>140</v>
      </c>
      <c r="F28" s="42">
        <v>78.590999999999994</v>
      </c>
      <c r="G28" s="42">
        <v>0.88239800000000002</v>
      </c>
      <c r="H28" s="42">
        <v>10.829800000000001</v>
      </c>
      <c r="I28" s="42" t="s">
        <v>107</v>
      </c>
      <c r="J28" s="42">
        <v>0.65519099999999997</v>
      </c>
      <c r="K28" s="42" t="s">
        <v>109</v>
      </c>
      <c r="L28" s="42" t="s">
        <v>108</v>
      </c>
      <c r="M28" s="42">
        <v>0.40810200000000002</v>
      </c>
      <c r="N28" s="42">
        <v>1.49465</v>
      </c>
      <c r="O28" s="42">
        <v>7.0866400000000001</v>
      </c>
      <c r="P28" s="42">
        <v>99.947781000000006</v>
      </c>
      <c r="Q28" s="41">
        <v>0.251</v>
      </c>
      <c r="R28" s="41">
        <v>5.2710000000000005E-3</v>
      </c>
    </row>
    <row r="29" spans="1:18" x14ac:dyDescent="0.2">
      <c r="A29" s="19"/>
      <c r="B29" s="12"/>
      <c r="C29" s="12"/>
      <c r="D29" s="3" t="s">
        <v>130</v>
      </c>
      <c r="E29" s="3" t="s">
        <v>140</v>
      </c>
      <c r="F29" s="42">
        <v>75.564499999999995</v>
      </c>
      <c r="G29" s="42">
        <v>0.77148099999999997</v>
      </c>
      <c r="H29" s="42">
        <v>12.336600000000001</v>
      </c>
      <c r="I29" s="42" t="s">
        <v>107</v>
      </c>
      <c r="J29" s="42">
        <v>0.56813800000000003</v>
      </c>
      <c r="K29" s="42" t="s">
        <v>109</v>
      </c>
      <c r="L29" s="42" t="s">
        <v>108</v>
      </c>
      <c r="M29" s="42">
        <v>0.43011899999999997</v>
      </c>
      <c r="N29" s="42">
        <v>1.92404</v>
      </c>
      <c r="O29" s="42">
        <v>7.3925700000000001</v>
      </c>
      <c r="P29" s="42">
        <v>98.987448000000015</v>
      </c>
      <c r="Q29" s="41">
        <v>0.27700000000000002</v>
      </c>
      <c r="R29" s="41">
        <v>5.817000000000001E-3</v>
      </c>
    </row>
    <row r="30" spans="1:18" x14ac:dyDescent="0.2">
      <c r="A30" s="19"/>
      <c r="B30" s="12"/>
      <c r="C30" s="12"/>
      <c r="D30" s="3" t="s">
        <v>124</v>
      </c>
      <c r="E30" s="90" t="s">
        <v>140</v>
      </c>
      <c r="F30" s="42">
        <v>78.700800000000001</v>
      </c>
      <c r="G30" s="42">
        <v>0.88930200000000004</v>
      </c>
      <c r="H30" s="42">
        <v>10.996600000000001</v>
      </c>
      <c r="I30" s="42" t="s">
        <v>107</v>
      </c>
      <c r="J30" s="42">
        <v>0.43440400000000001</v>
      </c>
      <c r="K30" s="42" t="s">
        <v>109</v>
      </c>
      <c r="L30" s="42" t="s">
        <v>108</v>
      </c>
      <c r="M30" s="42">
        <v>0.35571199999999997</v>
      </c>
      <c r="N30" s="42">
        <v>1.45983</v>
      </c>
      <c r="O30" s="42">
        <v>7.1642299999999999</v>
      </c>
      <c r="P30" s="42">
        <v>100.000878</v>
      </c>
      <c r="Q30" s="41">
        <v>0.249</v>
      </c>
      <c r="R30" s="41">
        <v>5.2290000000000001E-3</v>
      </c>
    </row>
    <row r="31" spans="1:18" x14ac:dyDescent="0.2">
      <c r="A31" s="19"/>
      <c r="B31" s="12"/>
      <c r="C31" s="12"/>
      <c r="D31" s="3" t="s">
        <v>135</v>
      </c>
      <c r="E31" s="90" t="s">
        <v>140</v>
      </c>
      <c r="F31" s="42">
        <v>75.202200000000005</v>
      </c>
      <c r="G31" s="42">
        <v>0.81311999999999995</v>
      </c>
      <c r="H31" s="42">
        <v>11.297000000000001</v>
      </c>
      <c r="I31" s="42" t="s">
        <v>107</v>
      </c>
      <c r="J31" s="42">
        <v>0.521899</v>
      </c>
      <c r="K31" s="42" t="s">
        <v>109</v>
      </c>
      <c r="L31" s="42" t="s">
        <v>108</v>
      </c>
      <c r="M31" s="42">
        <v>0.44517800000000002</v>
      </c>
      <c r="N31" s="42">
        <v>1.5204200000000001</v>
      </c>
      <c r="O31" s="42">
        <v>7.1223299999999998</v>
      </c>
      <c r="P31" s="42">
        <v>96.92214700000001</v>
      </c>
      <c r="Q31" s="41">
        <v>0.26100000000000001</v>
      </c>
      <c r="R31" s="41">
        <v>5.4810000000000006E-3</v>
      </c>
    </row>
    <row r="32" spans="1:18" x14ac:dyDescent="0.2">
      <c r="A32" s="19" t="s">
        <v>34</v>
      </c>
      <c r="B32" s="12" t="s">
        <v>23</v>
      </c>
      <c r="C32" s="12" t="s">
        <v>35</v>
      </c>
      <c r="D32" s="3" t="s">
        <v>122</v>
      </c>
      <c r="E32" s="90" t="s">
        <v>140</v>
      </c>
      <c r="F32" s="42">
        <v>75.325699999999998</v>
      </c>
      <c r="G32" s="42">
        <v>0.87890000000000001</v>
      </c>
      <c r="H32" s="42">
        <v>11.431900000000001</v>
      </c>
      <c r="I32" s="42" t="s">
        <v>107</v>
      </c>
      <c r="J32" s="42">
        <v>0.355466</v>
      </c>
      <c r="K32" s="42" t="s">
        <v>109</v>
      </c>
      <c r="L32" s="42" t="s">
        <v>108</v>
      </c>
      <c r="M32" s="42">
        <v>0.36670199999999997</v>
      </c>
      <c r="N32" s="42">
        <v>1.8807199999999999</v>
      </c>
      <c r="O32" s="42">
        <v>6.6931399999999996</v>
      </c>
      <c r="P32" s="42">
        <v>96.932528000000005</v>
      </c>
      <c r="Q32" s="41">
        <v>0.26700000000000002</v>
      </c>
      <c r="R32" s="41">
        <v>5.6070000000000009E-3</v>
      </c>
    </row>
    <row r="33" spans="1:18" x14ac:dyDescent="0.2">
      <c r="A33" s="19"/>
      <c r="B33" s="12"/>
      <c r="C33" s="12"/>
      <c r="D33" s="3" t="s">
        <v>123</v>
      </c>
      <c r="E33" s="90" t="s">
        <v>140</v>
      </c>
      <c r="F33" s="42">
        <v>74.6023</v>
      </c>
      <c r="G33" s="42">
        <v>0.79663799999999996</v>
      </c>
      <c r="H33" s="42">
        <v>11.517200000000001</v>
      </c>
      <c r="I33" s="42" t="s">
        <v>107</v>
      </c>
      <c r="J33" s="42">
        <v>0.40642200000000001</v>
      </c>
      <c r="K33" s="42" t="s">
        <v>109</v>
      </c>
      <c r="L33" s="42" t="s">
        <v>108</v>
      </c>
      <c r="M33" s="42">
        <v>0.44983099999999998</v>
      </c>
      <c r="N33" s="42">
        <v>1.72679</v>
      </c>
      <c r="O33" s="42">
        <v>7.0548099999999998</v>
      </c>
      <c r="P33" s="42">
        <v>96.553991000000011</v>
      </c>
      <c r="Q33" s="41">
        <v>0.27100000000000002</v>
      </c>
      <c r="R33" s="41">
        <v>5.6910000000000007E-3</v>
      </c>
    </row>
    <row r="34" spans="1:18" x14ac:dyDescent="0.2">
      <c r="A34" s="19"/>
      <c r="B34" s="12"/>
      <c r="C34" s="12"/>
      <c r="D34" s="3" t="s">
        <v>130</v>
      </c>
      <c r="E34" s="90" t="s">
        <v>140</v>
      </c>
      <c r="F34" s="42">
        <v>74.494500000000002</v>
      </c>
      <c r="G34" s="42">
        <v>0.64436800000000005</v>
      </c>
      <c r="H34" s="42">
        <v>12.297499999999999</v>
      </c>
      <c r="I34" s="42" t="s">
        <v>107</v>
      </c>
      <c r="J34" s="42">
        <v>0.57147700000000001</v>
      </c>
      <c r="K34" s="42" t="s">
        <v>109</v>
      </c>
      <c r="L34" s="42" t="s">
        <v>108</v>
      </c>
      <c r="M34" s="42">
        <v>0.45873399999999998</v>
      </c>
      <c r="N34" s="42">
        <v>1.87551</v>
      </c>
      <c r="O34" s="42">
        <v>7.1375900000000003</v>
      </c>
      <c r="P34" s="42">
        <v>97.479679000000019</v>
      </c>
      <c r="Q34" s="41">
        <v>0.28000000000000003</v>
      </c>
      <c r="R34" s="41">
        <v>5.8800000000000007E-3</v>
      </c>
    </row>
    <row r="35" spans="1:18" x14ac:dyDescent="0.2">
      <c r="A35" s="19"/>
      <c r="B35" s="12"/>
      <c r="C35" s="12"/>
      <c r="D35" s="3" t="s">
        <v>124</v>
      </c>
      <c r="E35" s="90" t="s">
        <v>140</v>
      </c>
      <c r="F35" s="42">
        <v>72.476200000000006</v>
      </c>
      <c r="G35" s="42">
        <v>0.64143700000000003</v>
      </c>
      <c r="H35" s="42">
        <v>11.7355</v>
      </c>
      <c r="I35" s="42" t="s">
        <v>107</v>
      </c>
      <c r="J35" s="42">
        <v>0.41214800000000001</v>
      </c>
      <c r="K35" s="42" t="s">
        <v>109</v>
      </c>
      <c r="L35" s="42" t="s">
        <v>108</v>
      </c>
      <c r="M35" s="42">
        <v>0.44603500000000001</v>
      </c>
      <c r="N35" s="42">
        <v>1.4593700000000001</v>
      </c>
      <c r="O35" s="42">
        <v>7.8753000000000002</v>
      </c>
      <c r="P35" s="42">
        <v>95.045990000000003</v>
      </c>
      <c r="Q35" s="41">
        <v>0.28100000000000003</v>
      </c>
      <c r="R35" s="41">
        <v>5.9010000000000009E-3</v>
      </c>
    </row>
    <row r="36" spans="1:18" x14ac:dyDescent="0.2">
      <c r="A36" s="19"/>
      <c r="B36" s="12" t="s">
        <v>24</v>
      </c>
      <c r="C36" s="12" t="s">
        <v>36</v>
      </c>
      <c r="D36" s="3" t="s">
        <v>123</v>
      </c>
      <c r="E36" s="90" t="s">
        <v>140</v>
      </c>
      <c r="F36" s="42">
        <v>74.106399999999994</v>
      </c>
      <c r="G36" s="42">
        <v>0.77308500000000002</v>
      </c>
      <c r="H36" s="42">
        <v>12.2827</v>
      </c>
      <c r="I36" s="42" t="s">
        <v>107</v>
      </c>
      <c r="J36" s="42">
        <v>0.73333499999999996</v>
      </c>
      <c r="K36" s="42" t="s">
        <v>109</v>
      </c>
      <c r="L36" s="42" t="s">
        <v>108</v>
      </c>
      <c r="M36" s="42">
        <v>0.57226100000000002</v>
      </c>
      <c r="N36" s="42">
        <v>1.20608</v>
      </c>
      <c r="O36" s="42">
        <v>6.4029800000000003</v>
      </c>
      <c r="P36" s="42">
        <v>96.076840999999988</v>
      </c>
      <c r="Q36" s="41">
        <v>0.28100000000000003</v>
      </c>
      <c r="R36" s="41">
        <v>5.9010000000000009E-3</v>
      </c>
    </row>
    <row r="37" spans="1:18" x14ac:dyDescent="0.2">
      <c r="A37" s="19"/>
      <c r="B37" s="12"/>
      <c r="C37" s="12"/>
      <c r="D37" s="3" t="s">
        <v>130</v>
      </c>
      <c r="E37" s="90" t="s">
        <v>140</v>
      </c>
      <c r="F37" s="42">
        <v>74.052300000000002</v>
      </c>
      <c r="G37" s="42">
        <v>0.73686799999999997</v>
      </c>
      <c r="H37" s="42">
        <v>11.950900000000001</v>
      </c>
      <c r="I37" s="42" t="s">
        <v>107</v>
      </c>
      <c r="J37" s="42">
        <v>0.654806</v>
      </c>
      <c r="K37" s="42" t="s">
        <v>109</v>
      </c>
      <c r="L37" s="42" t="s">
        <v>108</v>
      </c>
      <c r="M37" s="42">
        <v>0.47222599999999998</v>
      </c>
      <c r="N37" s="42">
        <v>1.2338499999999999</v>
      </c>
      <c r="O37" s="42">
        <v>6.7752499999999998</v>
      </c>
      <c r="P37" s="42">
        <v>95.876200000000011</v>
      </c>
      <c r="Q37" s="41">
        <v>0.27800000000000002</v>
      </c>
      <c r="R37" s="41">
        <v>5.8380000000000012E-3</v>
      </c>
    </row>
    <row r="38" spans="1:18" x14ac:dyDescent="0.2">
      <c r="A38" s="19"/>
      <c r="B38" s="12"/>
      <c r="C38" s="12"/>
      <c r="D38" s="3" t="s">
        <v>131</v>
      </c>
      <c r="E38" s="90" t="s">
        <v>140</v>
      </c>
      <c r="F38" s="42">
        <v>71.942800000000005</v>
      </c>
      <c r="G38" s="42">
        <v>0.53103699999999998</v>
      </c>
      <c r="H38" s="42">
        <v>12.530200000000001</v>
      </c>
      <c r="I38" s="42" t="s">
        <v>107</v>
      </c>
      <c r="J38" s="42">
        <v>0.68020099999999994</v>
      </c>
      <c r="K38" s="42" t="s">
        <v>109</v>
      </c>
      <c r="L38" s="42">
        <v>3.1801999999999997E-2</v>
      </c>
      <c r="M38" s="42">
        <v>0.49057400000000001</v>
      </c>
      <c r="N38" s="42">
        <v>1.74793</v>
      </c>
      <c r="O38" s="42">
        <v>7.9554900000000002</v>
      </c>
      <c r="P38" s="42">
        <v>95.910033999999996</v>
      </c>
      <c r="Q38" s="41">
        <v>0.29299999999999998</v>
      </c>
      <c r="R38" s="41">
        <v>6.1529999999999996E-3</v>
      </c>
    </row>
    <row r="39" spans="1:18" x14ac:dyDescent="0.2">
      <c r="A39" s="19"/>
      <c r="B39" s="12"/>
      <c r="C39" s="12"/>
      <c r="D39" s="3" t="s">
        <v>132</v>
      </c>
      <c r="E39" s="90" t="s">
        <v>140</v>
      </c>
      <c r="F39" s="42">
        <v>78.022999999999996</v>
      </c>
      <c r="G39" s="42">
        <v>0.61023799999999995</v>
      </c>
      <c r="H39" s="42">
        <v>11.1302</v>
      </c>
      <c r="I39" s="42" t="s">
        <v>107</v>
      </c>
      <c r="J39" s="42">
        <v>0.62054200000000004</v>
      </c>
      <c r="K39" s="42" t="s">
        <v>109</v>
      </c>
      <c r="L39" s="42">
        <v>2.1562999999999999E-2</v>
      </c>
      <c r="M39" s="42">
        <v>0.35479500000000003</v>
      </c>
      <c r="N39" s="42">
        <v>1.1741900000000001</v>
      </c>
      <c r="O39" s="42">
        <v>6.6306500000000002</v>
      </c>
      <c r="P39" s="42">
        <v>98.565177999999989</v>
      </c>
      <c r="Q39" s="41">
        <v>0.254</v>
      </c>
      <c r="R39" s="41">
        <v>5.3340000000000002E-3</v>
      </c>
    </row>
    <row r="40" spans="1:18" x14ac:dyDescent="0.2">
      <c r="A40" s="19"/>
      <c r="B40" s="12"/>
      <c r="C40" s="12"/>
      <c r="D40" s="3" t="s">
        <v>133</v>
      </c>
      <c r="E40" s="90" t="s">
        <v>140</v>
      </c>
      <c r="F40" s="42">
        <v>74.670599999999993</v>
      </c>
      <c r="G40" s="42">
        <v>0.49800699999999998</v>
      </c>
      <c r="H40" s="42">
        <v>11.911</v>
      </c>
      <c r="I40" s="42" t="s">
        <v>107</v>
      </c>
      <c r="J40" s="42">
        <v>0.57322899999999999</v>
      </c>
      <c r="K40" s="42" t="s">
        <v>109</v>
      </c>
      <c r="L40" s="42">
        <v>2.9197000000000001E-2</v>
      </c>
      <c r="M40" s="42">
        <v>0.52976000000000001</v>
      </c>
      <c r="N40" s="42">
        <v>1.22279</v>
      </c>
      <c r="O40" s="42">
        <v>6.2003000000000004</v>
      </c>
      <c r="P40" s="42">
        <v>95.634882999999988</v>
      </c>
      <c r="Q40" s="41">
        <v>0.27500000000000002</v>
      </c>
      <c r="R40" s="41">
        <v>5.7750000000000006E-3</v>
      </c>
    </row>
    <row r="41" spans="1:18" x14ac:dyDescent="0.2">
      <c r="A41" s="19"/>
      <c r="B41" s="12"/>
      <c r="C41" s="12"/>
      <c r="D41" s="3" t="s">
        <v>125</v>
      </c>
      <c r="E41" s="90" t="s">
        <v>140</v>
      </c>
      <c r="F41" s="42">
        <v>74.466499999999996</v>
      </c>
      <c r="G41" s="42">
        <v>0.56805300000000003</v>
      </c>
      <c r="H41" s="42">
        <v>12.2339</v>
      </c>
      <c r="I41" s="42" t="s">
        <v>107</v>
      </c>
      <c r="J41" s="42">
        <v>0.59688300000000005</v>
      </c>
      <c r="K41" s="42" t="s">
        <v>109</v>
      </c>
      <c r="L41" s="42">
        <v>1.7527000000000001E-2</v>
      </c>
      <c r="M41" s="42">
        <v>0.52954999999999997</v>
      </c>
      <c r="N41" s="42">
        <v>1.1794100000000001</v>
      </c>
      <c r="O41" s="42">
        <v>6.0104699999999998</v>
      </c>
      <c r="P41" s="42">
        <v>95.602293000000017</v>
      </c>
      <c r="Q41" s="41">
        <v>0.27900000000000003</v>
      </c>
      <c r="R41" s="41">
        <v>5.8590000000000005E-3</v>
      </c>
    </row>
    <row r="42" spans="1:18" s="2" customFormat="1" x14ac:dyDescent="0.2">
      <c r="A42" s="66"/>
      <c r="B42" s="23"/>
      <c r="C42" s="23"/>
      <c r="D42" s="5" t="s">
        <v>134</v>
      </c>
      <c r="E42" s="5" t="s">
        <v>138</v>
      </c>
      <c r="F42" s="51">
        <v>78.6631</v>
      </c>
      <c r="G42" s="51">
        <v>0.47150799999999998</v>
      </c>
      <c r="H42" s="51">
        <v>12.7941</v>
      </c>
      <c r="I42" s="51" t="s">
        <v>107</v>
      </c>
      <c r="J42" s="51">
        <v>0.58318499999999995</v>
      </c>
      <c r="K42" s="51" t="s">
        <v>109</v>
      </c>
      <c r="L42" s="51" t="s">
        <v>108</v>
      </c>
      <c r="M42" s="51">
        <v>0.52968499999999996</v>
      </c>
      <c r="N42" s="51">
        <v>1.2443200000000001</v>
      </c>
      <c r="O42" s="51">
        <v>6.21814</v>
      </c>
      <c r="P42" s="51">
        <v>100.50403800000001</v>
      </c>
      <c r="Q42" s="52">
        <v>0.27100000000000002</v>
      </c>
      <c r="R42" s="52">
        <v>5.6910000000000007E-3</v>
      </c>
    </row>
    <row r="43" spans="1:18" s="2" customFormat="1" x14ac:dyDescent="0.2">
      <c r="A43" s="22" t="s">
        <v>40</v>
      </c>
      <c r="B43" s="23" t="s">
        <v>41</v>
      </c>
      <c r="C43" s="23" t="s">
        <v>45</v>
      </c>
      <c r="D43" s="5" t="s">
        <v>123</v>
      </c>
      <c r="E43" s="5" t="s">
        <v>139</v>
      </c>
      <c r="F43" s="51">
        <v>74.842799999999997</v>
      </c>
      <c r="G43" s="51">
        <v>0.72556699999999996</v>
      </c>
      <c r="H43" s="51">
        <v>11.3002</v>
      </c>
      <c r="I43" s="51" t="s">
        <v>107</v>
      </c>
      <c r="J43" s="51">
        <v>0.34979900000000003</v>
      </c>
      <c r="K43" s="51">
        <v>6.8254999999999996E-2</v>
      </c>
      <c r="L43" s="51">
        <v>4.2962E-2</v>
      </c>
      <c r="M43" s="51">
        <v>0.62908399999999998</v>
      </c>
      <c r="N43" s="51">
        <v>0.41237000000000001</v>
      </c>
      <c r="O43" s="51">
        <v>7.3822999999999999</v>
      </c>
      <c r="P43" s="51">
        <v>95.753337000000002</v>
      </c>
      <c r="Q43" s="52">
        <v>0.26700000000000002</v>
      </c>
      <c r="R43" s="52">
        <v>5.6070000000000009E-3</v>
      </c>
    </row>
    <row r="44" spans="1:18" x14ac:dyDescent="0.2">
      <c r="A44" s="12"/>
      <c r="B44" s="12"/>
      <c r="C44" s="12"/>
    </row>
    <row r="45" spans="1:18" x14ac:dyDescent="0.2">
      <c r="A45" s="12"/>
      <c r="B45" s="12"/>
      <c r="C45" s="12"/>
    </row>
    <row r="46" spans="1:18" x14ac:dyDescent="0.2">
      <c r="A46" s="12"/>
      <c r="B46" s="12"/>
      <c r="C46" s="12"/>
    </row>
    <row r="47" spans="1:18" x14ac:dyDescent="0.2">
      <c r="A47" s="12"/>
      <c r="B47" s="12"/>
      <c r="C47" s="12"/>
    </row>
    <row r="48" spans="1:18" x14ac:dyDescent="0.2">
      <c r="A48" s="12"/>
      <c r="B48" s="12"/>
      <c r="C48" s="12"/>
    </row>
    <row r="49" spans="1:3" x14ac:dyDescent="0.2">
      <c r="B49" s="12"/>
      <c r="C49" s="12"/>
    </row>
    <row r="50" spans="1:3" x14ac:dyDescent="0.2">
      <c r="A50" s="12"/>
      <c r="B50" s="12"/>
      <c r="C50" s="12"/>
    </row>
    <row r="51" spans="1:3" x14ac:dyDescent="0.2">
      <c r="A51" s="12"/>
      <c r="B51" s="12"/>
      <c r="C51" s="12"/>
    </row>
    <row r="53" spans="1:3" x14ac:dyDescent="0.2">
      <c r="A53" s="12"/>
      <c r="B53" s="12"/>
      <c r="C53" s="12"/>
    </row>
    <row r="54" spans="1:3" x14ac:dyDescent="0.2">
      <c r="A54" s="12"/>
      <c r="B54" s="12"/>
      <c r="C54" s="12"/>
    </row>
    <row r="55" spans="1:3" x14ac:dyDescent="0.2">
      <c r="A55" s="12"/>
      <c r="B55" s="12"/>
      <c r="C55" s="12"/>
    </row>
    <row r="56" spans="1:3" x14ac:dyDescent="0.2">
      <c r="A56" s="12"/>
      <c r="B56" s="12"/>
      <c r="C56" s="12"/>
    </row>
    <row r="57" spans="1:3" x14ac:dyDescent="0.2">
      <c r="A57" s="12"/>
      <c r="B57" s="12"/>
      <c r="C57" s="12"/>
    </row>
    <row r="58" spans="1:3" x14ac:dyDescent="0.2">
      <c r="A58" s="12"/>
      <c r="B58" s="12"/>
      <c r="C58" s="12"/>
    </row>
    <row r="59" spans="1:3" x14ac:dyDescent="0.2">
      <c r="A59" s="12"/>
      <c r="B59" s="12"/>
      <c r="C59" s="12"/>
    </row>
    <row r="60" spans="1:3" x14ac:dyDescent="0.2">
      <c r="A60" s="12"/>
      <c r="B60" s="12"/>
      <c r="C60" s="1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3DFE-8FC7-4949-9095-2AB6E925A6F8}">
  <dimension ref="A1:AC4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1" sqref="B41"/>
    </sheetView>
  </sheetViews>
  <sheetFormatPr baseColWidth="10" defaultColWidth="10.83203125" defaultRowHeight="16" x14ac:dyDescent="0.2"/>
  <cols>
    <col min="1" max="1" width="10.83203125" style="1"/>
    <col min="2" max="2" width="21.5" style="1" customWidth="1"/>
    <col min="3" max="4" width="10.83203125" style="1"/>
    <col min="5" max="5" width="19.6640625" style="1" customWidth="1"/>
    <col min="6" max="6" width="16.1640625" style="1" customWidth="1"/>
    <col min="7" max="7" width="10.83203125" style="1"/>
    <col min="8" max="8" width="22.1640625" style="1" customWidth="1"/>
    <col min="9" max="9" width="10.83203125" style="1"/>
    <col min="10" max="10" width="12.83203125" style="1" customWidth="1"/>
    <col min="11" max="12" width="10.83203125" style="1"/>
    <col min="13" max="13" width="19.33203125" style="1" customWidth="1"/>
    <col min="14" max="14" width="10.83203125" style="1"/>
    <col min="15" max="15" width="20.83203125" style="1" bestFit="1" customWidth="1"/>
    <col min="16" max="16384" width="10.83203125" style="1"/>
  </cols>
  <sheetData>
    <row r="1" spans="1:29" s="26" customFormat="1" ht="19" customHeight="1" x14ac:dyDescent="0.2">
      <c r="A1" s="39" t="s">
        <v>240</v>
      </c>
    </row>
    <row r="2" spans="1:29" s="143" customFormat="1" ht="19" x14ac:dyDescent="0.25">
      <c r="A2" s="153" t="s">
        <v>7</v>
      </c>
      <c r="B2" s="154" t="s">
        <v>68</v>
      </c>
      <c r="C2" s="154" t="s">
        <v>52</v>
      </c>
      <c r="D2" s="107" t="s">
        <v>50</v>
      </c>
      <c r="E2" s="154" t="s">
        <v>82</v>
      </c>
      <c r="F2" s="154" t="s">
        <v>83</v>
      </c>
      <c r="G2" s="107" t="s">
        <v>50</v>
      </c>
      <c r="H2" s="6" t="s">
        <v>245</v>
      </c>
      <c r="I2" s="107" t="s">
        <v>50</v>
      </c>
      <c r="J2" s="154" t="s">
        <v>69</v>
      </c>
      <c r="K2" s="40" t="s">
        <v>232</v>
      </c>
      <c r="L2" s="107" t="s">
        <v>50</v>
      </c>
      <c r="M2" s="163" t="s">
        <v>235</v>
      </c>
      <c r="N2" s="6" t="s">
        <v>99</v>
      </c>
      <c r="O2" s="6" t="s">
        <v>246</v>
      </c>
      <c r="P2" s="9" t="s">
        <v>100</v>
      </c>
      <c r="Q2" s="9" t="s">
        <v>101</v>
      </c>
      <c r="R2" s="9" t="s">
        <v>102</v>
      </c>
      <c r="S2" s="9" t="s">
        <v>103</v>
      </c>
      <c r="T2" s="9" t="s">
        <v>94</v>
      </c>
      <c r="U2" s="9" t="s">
        <v>95</v>
      </c>
      <c r="V2" s="9" t="s">
        <v>96</v>
      </c>
      <c r="W2" s="9" t="s">
        <v>97</v>
      </c>
      <c r="X2" s="9" t="s">
        <v>104</v>
      </c>
      <c r="Y2" s="9" t="s">
        <v>105</v>
      </c>
      <c r="Z2" s="9" t="s">
        <v>98</v>
      </c>
      <c r="AA2" s="155" t="s">
        <v>234</v>
      </c>
      <c r="AB2" s="37" t="s">
        <v>50</v>
      </c>
    </row>
    <row r="3" spans="1:29" s="47" customFormat="1" x14ac:dyDescent="0.2">
      <c r="A3" s="43" t="s">
        <v>21</v>
      </c>
      <c r="B3" s="4" t="s">
        <v>70</v>
      </c>
      <c r="C3" s="4">
        <v>4298</v>
      </c>
      <c r="D3" s="44">
        <v>4</v>
      </c>
      <c r="E3" s="4">
        <v>17</v>
      </c>
      <c r="F3" s="45">
        <v>38.662917838175602</v>
      </c>
      <c r="G3" s="45">
        <v>7</v>
      </c>
      <c r="H3" s="46">
        <v>6.6000000000000003E-2</v>
      </c>
      <c r="I3" s="46">
        <v>7.0000000000000001E-3</v>
      </c>
      <c r="J3" s="4">
        <v>19</v>
      </c>
      <c r="K3" s="46">
        <v>0.27900000000000003</v>
      </c>
      <c r="L3" s="46">
        <v>5.8590000000000005E-3</v>
      </c>
      <c r="M3" s="164">
        <f>H3/K3</f>
        <v>0.23655913978494622</v>
      </c>
      <c r="N3" s="3" t="s">
        <v>113</v>
      </c>
      <c r="O3" s="3" t="s">
        <v>140</v>
      </c>
      <c r="P3" s="42">
        <v>74.767899999999997</v>
      </c>
      <c r="Q3" s="42">
        <v>0.57905600000000002</v>
      </c>
      <c r="R3" s="42">
        <v>12.3085</v>
      </c>
      <c r="S3" s="42" t="s">
        <v>107</v>
      </c>
      <c r="T3" s="42">
        <v>0.49779899999999999</v>
      </c>
      <c r="U3" s="42" t="s">
        <v>109</v>
      </c>
      <c r="V3" s="42">
        <v>2.1271000000000002E-2</v>
      </c>
      <c r="W3" s="42">
        <v>0.49291200000000002</v>
      </c>
      <c r="X3" s="42">
        <v>1.4254</v>
      </c>
      <c r="Y3" s="42">
        <v>8.0103899999999992</v>
      </c>
      <c r="Z3" s="42">
        <v>98.103227999999987</v>
      </c>
      <c r="AA3" s="41">
        <v>0.27900000000000003</v>
      </c>
      <c r="AB3" s="41">
        <v>5.8590000000000005E-3</v>
      </c>
      <c r="AC3" s="175"/>
    </row>
    <row r="4" spans="1:29" x14ac:dyDescent="0.2">
      <c r="A4" s="43" t="s">
        <v>21</v>
      </c>
      <c r="B4" s="3"/>
      <c r="C4" s="3">
        <v>4338</v>
      </c>
      <c r="D4" s="30">
        <v>4</v>
      </c>
      <c r="E4" s="3">
        <v>4</v>
      </c>
      <c r="F4" s="42">
        <v>10.951577631990006</v>
      </c>
      <c r="G4" s="42">
        <v>1.4384194730715034</v>
      </c>
      <c r="H4" s="41">
        <v>1.872064552476924E-2</v>
      </c>
      <c r="I4" s="41">
        <v>1.8720645524769239E-3</v>
      </c>
      <c r="J4" s="3">
        <v>18</v>
      </c>
      <c r="K4" s="41">
        <v>0.29899999999999999</v>
      </c>
      <c r="L4" s="41">
        <v>6.2789999999999999E-3</v>
      </c>
      <c r="M4" s="165">
        <f t="shared" ref="M4:M44" si="0">H4/K4</f>
        <v>6.2610854597890439E-2</v>
      </c>
      <c r="N4" s="3" t="s">
        <v>127</v>
      </c>
      <c r="O4" s="3" t="s">
        <v>139</v>
      </c>
      <c r="P4" s="42">
        <v>71.331500000000005</v>
      </c>
      <c r="Q4" s="42">
        <v>0.48988399999999999</v>
      </c>
      <c r="R4" s="42">
        <v>12.8599</v>
      </c>
      <c r="S4" s="42" t="s">
        <v>107</v>
      </c>
      <c r="T4" s="42">
        <v>0.76218600000000003</v>
      </c>
      <c r="U4" s="42" t="s">
        <v>109</v>
      </c>
      <c r="V4" s="42" t="s">
        <v>108</v>
      </c>
      <c r="W4" s="42">
        <v>0.58138199999999995</v>
      </c>
      <c r="X4" s="42">
        <v>1.3851199999999999</v>
      </c>
      <c r="Y4" s="42">
        <v>8.6933299999999996</v>
      </c>
      <c r="Z4" s="42">
        <v>96.103302000000014</v>
      </c>
      <c r="AA4" s="41">
        <v>0.29899999999999999</v>
      </c>
      <c r="AB4" s="41">
        <v>6.2789999999999999E-3</v>
      </c>
    </row>
    <row r="5" spans="1:29" x14ac:dyDescent="0.2">
      <c r="A5" s="43" t="s">
        <v>21</v>
      </c>
      <c r="B5" s="3"/>
      <c r="C5" s="3">
        <v>4259</v>
      </c>
      <c r="D5" s="30">
        <v>4</v>
      </c>
      <c r="E5" s="3">
        <v>15</v>
      </c>
      <c r="F5" s="42">
        <v>5.4932833489534527</v>
      </c>
      <c r="G5" s="42">
        <v>0.85535713145903136</v>
      </c>
      <c r="H5" s="41">
        <v>9.3902279469289789E-3</v>
      </c>
      <c r="I5" s="41">
        <v>9.3902279469289794E-4</v>
      </c>
      <c r="J5" s="3">
        <v>16</v>
      </c>
      <c r="K5" s="41">
        <v>0.29699999999999999</v>
      </c>
      <c r="L5" s="41">
        <v>6.2370000000000004E-3</v>
      </c>
      <c r="M5" s="165">
        <f t="shared" si="0"/>
        <v>3.1616929114238988E-2</v>
      </c>
      <c r="N5" s="3" t="s">
        <v>112</v>
      </c>
      <c r="O5" s="3" t="s">
        <v>139</v>
      </c>
      <c r="P5" s="42">
        <v>71.618399999999994</v>
      </c>
      <c r="Q5" s="42">
        <v>0.29650199999999999</v>
      </c>
      <c r="R5" s="42">
        <v>12.7812</v>
      </c>
      <c r="S5" s="42" t="s">
        <v>107</v>
      </c>
      <c r="T5" s="42">
        <v>0.72859099999999999</v>
      </c>
      <c r="U5" s="42" t="s">
        <v>109</v>
      </c>
      <c r="V5" s="42" t="s">
        <v>108</v>
      </c>
      <c r="W5" s="42">
        <v>0.55031699999999995</v>
      </c>
      <c r="X5" s="42">
        <v>1.56931</v>
      </c>
      <c r="Y5" s="42">
        <v>8.1887399999999992</v>
      </c>
      <c r="Z5" s="42">
        <v>95.733059999999995</v>
      </c>
      <c r="AA5" s="41">
        <v>0.29699999999999999</v>
      </c>
      <c r="AB5" s="41">
        <v>6.2370000000000004E-3</v>
      </c>
    </row>
    <row r="6" spans="1:29" x14ac:dyDescent="0.2">
      <c r="A6" s="43" t="s">
        <v>21</v>
      </c>
      <c r="B6" s="3"/>
      <c r="C6" s="3">
        <v>4324</v>
      </c>
      <c r="D6" s="30">
        <v>4</v>
      </c>
      <c r="E6" s="3">
        <v>1</v>
      </c>
      <c r="F6" s="42">
        <v>19.5</v>
      </c>
      <c r="G6" s="42">
        <v>6.7212588174291099</v>
      </c>
      <c r="H6" s="41">
        <v>3.3333333333333333E-2</v>
      </c>
      <c r="I6" s="41">
        <v>3.3333333333333331E-3</v>
      </c>
      <c r="J6" s="3">
        <v>15</v>
      </c>
      <c r="K6" s="41">
        <v>0.30099999999999999</v>
      </c>
      <c r="L6" s="41">
        <v>6.3210000000000002E-3</v>
      </c>
      <c r="M6" s="165">
        <f t="shared" si="0"/>
        <v>0.11074197120708749</v>
      </c>
      <c r="N6" s="3" t="s">
        <v>125</v>
      </c>
      <c r="O6" s="3" t="s">
        <v>139</v>
      </c>
      <c r="P6" s="42">
        <v>72.327799999999996</v>
      </c>
      <c r="Q6" s="42">
        <v>0.50979699999999994</v>
      </c>
      <c r="R6" s="42">
        <v>12.7865</v>
      </c>
      <c r="S6" s="42" t="s">
        <v>107</v>
      </c>
      <c r="T6" s="42">
        <v>0.69345000000000001</v>
      </c>
      <c r="U6" s="42" t="s">
        <v>109</v>
      </c>
      <c r="V6" s="42" t="s">
        <v>108</v>
      </c>
      <c r="W6" s="42">
        <v>0.46580500000000002</v>
      </c>
      <c r="X6" s="42">
        <v>1.4312199999999999</v>
      </c>
      <c r="Y6" s="42">
        <v>8.7225900000000003</v>
      </c>
      <c r="Z6" s="42">
        <v>96.937162000000001</v>
      </c>
      <c r="AA6" s="41">
        <v>0.30099999999999999</v>
      </c>
      <c r="AB6" s="41">
        <v>6.3210000000000002E-3</v>
      </c>
    </row>
    <row r="7" spans="1:29" x14ac:dyDescent="0.2">
      <c r="A7" s="43" t="s">
        <v>21</v>
      </c>
      <c r="B7" s="3"/>
      <c r="C7" s="3">
        <v>4321</v>
      </c>
      <c r="D7" s="30">
        <v>4</v>
      </c>
      <c r="E7" s="3" t="s">
        <v>81</v>
      </c>
      <c r="F7" s="42">
        <v>3.5</v>
      </c>
      <c r="G7" s="42">
        <v>0.6</v>
      </c>
      <c r="H7" s="41">
        <v>6.6666666666666671E-3</v>
      </c>
      <c r="I7" s="41">
        <v>1E-3</v>
      </c>
      <c r="J7" s="3">
        <v>4</v>
      </c>
      <c r="K7" s="41">
        <v>0.28654433208554647</v>
      </c>
      <c r="L7" s="41">
        <v>6.0174309737964764E-3</v>
      </c>
      <c r="M7" s="165">
        <f t="shared" si="0"/>
        <v>2.3265742575136208E-2</v>
      </c>
      <c r="N7" s="3" t="s">
        <v>124</v>
      </c>
      <c r="O7" s="3" t="s">
        <v>139</v>
      </c>
      <c r="P7" s="42">
        <v>76.435400000000001</v>
      </c>
      <c r="Q7" s="42">
        <v>0.621166</v>
      </c>
      <c r="R7" s="42">
        <v>13.548299999999999</v>
      </c>
      <c r="S7" s="42" t="s">
        <v>107</v>
      </c>
      <c r="T7" s="42">
        <v>0.72685</v>
      </c>
      <c r="U7" s="42" t="s">
        <v>109</v>
      </c>
      <c r="V7" s="42" t="s">
        <v>108</v>
      </c>
      <c r="W7" s="42">
        <v>0.53123699999999996</v>
      </c>
      <c r="X7" s="42">
        <v>1.3135699999999999</v>
      </c>
      <c r="Y7" s="42">
        <v>8.7153899999999993</v>
      </c>
      <c r="Z7" s="42">
        <v>101.891913</v>
      </c>
      <c r="AA7" s="41">
        <v>0.28654433208554647</v>
      </c>
      <c r="AB7" s="41">
        <v>6.0174309737964764E-3</v>
      </c>
    </row>
    <row r="8" spans="1:29" x14ac:dyDescent="0.2">
      <c r="A8" s="43" t="s">
        <v>21</v>
      </c>
      <c r="B8" s="3"/>
      <c r="C8" s="3">
        <v>4321</v>
      </c>
      <c r="D8" s="30">
        <v>4</v>
      </c>
      <c r="E8" s="3" t="s">
        <v>71</v>
      </c>
      <c r="F8" s="42">
        <v>3.65</v>
      </c>
      <c r="G8" s="42">
        <v>0.6</v>
      </c>
      <c r="H8" s="41">
        <v>6.5000000000000006E-3</v>
      </c>
      <c r="I8" s="41">
        <v>1E-3</v>
      </c>
      <c r="J8" s="3">
        <v>11</v>
      </c>
      <c r="K8" s="41">
        <v>0.29399999999999998</v>
      </c>
      <c r="L8" s="41">
        <v>6.1739999999999998E-3</v>
      </c>
      <c r="M8" s="165">
        <f t="shared" si="0"/>
        <v>2.210884353741497E-2</v>
      </c>
      <c r="N8" s="3" t="s">
        <v>126</v>
      </c>
      <c r="O8" s="3" t="s">
        <v>139</v>
      </c>
      <c r="P8" s="42">
        <v>71.1053</v>
      </c>
      <c r="Q8" s="42">
        <v>0.51805800000000002</v>
      </c>
      <c r="R8" s="42">
        <v>12.948</v>
      </c>
      <c r="S8" s="42" t="s">
        <v>107</v>
      </c>
      <c r="T8" s="42">
        <v>0.61789300000000003</v>
      </c>
      <c r="U8" s="42" t="s">
        <v>109</v>
      </c>
      <c r="V8" s="42" t="s">
        <v>108</v>
      </c>
      <c r="W8" s="42">
        <v>0.65615100000000004</v>
      </c>
      <c r="X8" s="42">
        <v>1.4493799999999999</v>
      </c>
      <c r="Y8" s="42">
        <v>8.7905899999999999</v>
      </c>
      <c r="Z8" s="42">
        <v>96.085371999999992</v>
      </c>
      <c r="AA8" s="41">
        <v>0.29399999999999998</v>
      </c>
      <c r="AB8" s="41">
        <v>6.1739999999999998E-3</v>
      </c>
    </row>
    <row r="9" spans="1:29" x14ac:dyDescent="0.2">
      <c r="A9" s="43" t="s">
        <v>21</v>
      </c>
      <c r="B9" s="3"/>
      <c r="C9" s="3">
        <v>4321</v>
      </c>
      <c r="D9" s="30">
        <v>4</v>
      </c>
      <c r="E9" s="3">
        <v>7</v>
      </c>
      <c r="F9" s="42">
        <v>8.0124960949703237</v>
      </c>
      <c r="G9" s="42">
        <v>1.3866356168164542</v>
      </c>
      <c r="H9" s="41">
        <v>1.3696574521316793E-2</v>
      </c>
      <c r="I9" s="41">
        <v>1.3696574521316794E-3</v>
      </c>
      <c r="J9" s="3">
        <v>11</v>
      </c>
      <c r="K9" s="41">
        <v>0.29399999999999998</v>
      </c>
      <c r="L9" s="41">
        <v>6.1739999999999998E-3</v>
      </c>
      <c r="M9" s="165">
        <f t="shared" si="0"/>
        <v>4.6586988167744196E-2</v>
      </c>
      <c r="N9" s="3" t="s">
        <v>126</v>
      </c>
      <c r="O9" s="3" t="s">
        <v>139</v>
      </c>
      <c r="P9" s="42">
        <v>71.1053</v>
      </c>
      <c r="Q9" s="42">
        <v>0.51805800000000002</v>
      </c>
      <c r="R9" s="42">
        <v>12.948</v>
      </c>
      <c r="S9" s="42" t="s">
        <v>107</v>
      </c>
      <c r="T9" s="42">
        <v>0.61789300000000003</v>
      </c>
      <c r="U9" s="42" t="s">
        <v>109</v>
      </c>
      <c r="V9" s="42" t="s">
        <v>108</v>
      </c>
      <c r="W9" s="42">
        <v>0.65615100000000004</v>
      </c>
      <c r="X9" s="42">
        <v>1.4493799999999999</v>
      </c>
      <c r="Y9" s="42">
        <v>8.7905899999999999</v>
      </c>
      <c r="Z9" s="42">
        <v>96.085371999999992</v>
      </c>
      <c r="AA9" s="41">
        <v>0.29399999999999998</v>
      </c>
      <c r="AB9" s="41">
        <v>6.1739999999999998E-3</v>
      </c>
    </row>
    <row r="10" spans="1:29" x14ac:dyDescent="0.2">
      <c r="A10" s="43" t="s">
        <v>21</v>
      </c>
      <c r="B10" s="3"/>
      <c r="C10" s="3">
        <v>4318</v>
      </c>
      <c r="D10" s="30">
        <v>4</v>
      </c>
      <c r="E10" s="3">
        <v>9</v>
      </c>
      <c r="F10" s="42">
        <v>26.315848822567609</v>
      </c>
      <c r="G10" s="42">
        <v>6.0680436631720003</v>
      </c>
      <c r="H10" s="41">
        <v>4.498435696165403E-2</v>
      </c>
      <c r="I10" s="41">
        <v>4.4984356961654034E-3</v>
      </c>
      <c r="J10" s="3">
        <v>22</v>
      </c>
      <c r="K10" s="41">
        <v>0.27853536133364043</v>
      </c>
      <c r="L10" s="41">
        <v>5.8492425880064492E-3</v>
      </c>
      <c r="M10" s="165">
        <f t="shared" si="0"/>
        <v>0.16150321720828123</v>
      </c>
      <c r="N10" s="3" t="s">
        <v>114</v>
      </c>
      <c r="O10" s="3" t="s">
        <v>140</v>
      </c>
      <c r="P10" s="42">
        <v>73.469700000000003</v>
      </c>
      <c r="Q10" s="42">
        <v>0.67408999999999997</v>
      </c>
      <c r="R10" s="42">
        <v>11.827400000000001</v>
      </c>
      <c r="S10" s="42" t="s">
        <v>107</v>
      </c>
      <c r="T10" s="42">
        <v>0.69476300000000002</v>
      </c>
      <c r="U10" s="42" t="s">
        <v>109</v>
      </c>
      <c r="V10" s="42" t="s">
        <v>108</v>
      </c>
      <c r="W10" s="42">
        <v>0.39168900000000001</v>
      </c>
      <c r="X10" s="42">
        <v>1.08945</v>
      </c>
      <c r="Y10" s="42">
        <v>8.4997799999999994</v>
      </c>
      <c r="Z10" s="42">
        <v>96.646872000000002</v>
      </c>
      <c r="AA10" s="41">
        <v>0.27853536133364043</v>
      </c>
      <c r="AB10" s="41">
        <v>5.8492425880064492E-3</v>
      </c>
    </row>
    <row r="11" spans="1:29" x14ac:dyDescent="0.2">
      <c r="A11" s="43" t="s">
        <v>21</v>
      </c>
      <c r="B11" s="3"/>
      <c r="C11" s="3">
        <v>4321</v>
      </c>
      <c r="D11" s="30">
        <v>4</v>
      </c>
      <c r="E11" s="3">
        <v>7</v>
      </c>
      <c r="F11" s="42">
        <v>7.9189610780131181</v>
      </c>
      <c r="G11" s="42">
        <v>1.3866356168164542</v>
      </c>
      <c r="H11" s="41">
        <v>1.3536685603441227E-2</v>
      </c>
      <c r="I11" s="41">
        <v>1.3536685603441228E-3</v>
      </c>
      <c r="J11" s="3">
        <v>22</v>
      </c>
      <c r="K11" s="41">
        <v>0.27853536133364043</v>
      </c>
      <c r="L11" s="41">
        <v>5.8492425880064492E-3</v>
      </c>
      <c r="M11" s="165">
        <f t="shared" si="0"/>
        <v>4.8599522655317223E-2</v>
      </c>
      <c r="N11" s="3" t="s">
        <v>114</v>
      </c>
      <c r="O11" s="3" t="s">
        <v>140</v>
      </c>
      <c r="P11" s="42">
        <v>73.469700000000003</v>
      </c>
      <c r="Q11" s="42">
        <v>0.67408999999999997</v>
      </c>
      <c r="R11" s="42">
        <v>11.827400000000001</v>
      </c>
      <c r="S11" s="42" t="s">
        <v>107</v>
      </c>
      <c r="T11" s="42">
        <v>0.69476300000000002</v>
      </c>
      <c r="U11" s="42" t="s">
        <v>109</v>
      </c>
      <c r="V11" s="42" t="s">
        <v>108</v>
      </c>
      <c r="W11" s="42">
        <v>0.39168900000000001</v>
      </c>
      <c r="X11" s="42">
        <v>1.08945</v>
      </c>
      <c r="Y11" s="42">
        <v>8.4997799999999994</v>
      </c>
      <c r="Z11" s="42">
        <v>96.646872000000002</v>
      </c>
      <c r="AA11" s="41">
        <v>0.27853536133364043</v>
      </c>
      <c r="AB11" s="41">
        <v>5.8492425880064492E-3</v>
      </c>
    </row>
    <row r="12" spans="1:29" x14ac:dyDescent="0.2">
      <c r="A12" s="43" t="s">
        <v>21</v>
      </c>
      <c r="B12" s="3"/>
      <c r="C12" s="3">
        <v>4229</v>
      </c>
      <c r="D12" s="30">
        <v>6</v>
      </c>
      <c r="E12" s="3" t="s">
        <v>72</v>
      </c>
      <c r="F12" s="42">
        <v>5.2333333333333334</v>
      </c>
      <c r="G12" s="42">
        <v>0.8</v>
      </c>
      <c r="H12" s="41">
        <v>8.9999999999999993E-3</v>
      </c>
      <c r="I12" s="41">
        <v>1E-3</v>
      </c>
      <c r="J12" s="3">
        <v>9</v>
      </c>
      <c r="K12" s="41">
        <v>0.2954880635844867</v>
      </c>
      <c r="L12" s="41">
        <v>6.2052493352742211E-3</v>
      </c>
      <c r="M12" s="165">
        <f t="shared" si="0"/>
        <v>3.0458083114503529E-2</v>
      </c>
      <c r="N12" s="3" t="s">
        <v>111</v>
      </c>
      <c r="O12" s="3" t="s">
        <v>140</v>
      </c>
      <c r="P12" s="42">
        <v>69.649600000000007</v>
      </c>
      <c r="Q12" s="42">
        <v>0.70466700000000004</v>
      </c>
      <c r="R12" s="42">
        <v>11.9627</v>
      </c>
      <c r="S12" s="42" t="s">
        <v>107</v>
      </c>
      <c r="T12" s="42">
        <v>1.88592</v>
      </c>
      <c r="U12" s="42" t="s">
        <v>109</v>
      </c>
      <c r="V12" s="42">
        <v>2.2782E-2</v>
      </c>
      <c r="W12" s="42">
        <v>0.43027100000000001</v>
      </c>
      <c r="X12" s="42">
        <v>0.51325600000000005</v>
      </c>
      <c r="Y12" s="42">
        <v>10.195</v>
      </c>
      <c r="Z12" s="42">
        <v>95.364196000000021</v>
      </c>
      <c r="AA12" s="41">
        <v>0.2954880635844867</v>
      </c>
      <c r="AB12" s="41">
        <v>6.2052493352742211E-3</v>
      </c>
    </row>
    <row r="13" spans="1:29" x14ac:dyDescent="0.2">
      <c r="A13" s="43" t="s">
        <v>21</v>
      </c>
      <c r="B13" s="3"/>
      <c r="C13" s="3">
        <v>4325</v>
      </c>
      <c r="D13" s="30">
        <v>6</v>
      </c>
      <c r="E13" s="3" t="s">
        <v>72</v>
      </c>
      <c r="F13" s="42">
        <v>5.2333333333333334</v>
      </c>
      <c r="G13" s="42">
        <v>0.8</v>
      </c>
      <c r="H13" s="41">
        <v>8.9999999999999993E-3</v>
      </c>
      <c r="I13" s="41">
        <v>1E-3</v>
      </c>
      <c r="J13" s="3">
        <v>29</v>
      </c>
      <c r="K13" s="41">
        <v>0.29859273377170054</v>
      </c>
      <c r="L13" s="41">
        <v>6.270447409205712E-3</v>
      </c>
      <c r="M13" s="165">
        <f t="shared" si="0"/>
        <v>3.0141389866778414E-2</v>
      </c>
      <c r="N13" s="3" t="s">
        <v>115</v>
      </c>
      <c r="O13" s="3" t="s">
        <v>140</v>
      </c>
      <c r="P13" s="42">
        <v>71.818700000000007</v>
      </c>
      <c r="Q13" s="42">
        <v>0.63720600000000005</v>
      </c>
      <c r="R13" s="42">
        <v>12.988099999999999</v>
      </c>
      <c r="S13" s="42" t="s">
        <v>107</v>
      </c>
      <c r="T13" s="42">
        <v>1.13344</v>
      </c>
      <c r="U13" s="42" t="s">
        <v>109</v>
      </c>
      <c r="V13" s="42">
        <v>2.5895999999999999E-2</v>
      </c>
      <c r="W13" s="42">
        <v>0.19828899999999999</v>
      </c>
      <c r="X13" s="42">
        <v>0.43520399999999998</v>
      </c>
      <c r="Y13" s="42">
        <v>11.4672</v>
      </c>
      <c r="Z13" s="42">
        <v>98.704035000000019</v>
      </c>
      <c r="AA13" s="41">
        <v>0.29859273377170054</v>
      </c>
      <c r="AB13" s="41">
        <v>6.270447409205712E-3</v>
      </c>
    </row>
    <row r="14" spans="1:29" x14ac:dyDescent="0.2">
      <c r="A14" s="43" t="s">
        <v>21</v>
      </c>
      <c r="B14" s="3"/>
      <c r="C14" s="3">
        <v>4339</v>
      </c>
      <c r="D14" s="30">
        <v>3</v>
      </c>
      <c r="E14" s="3">
        <v>22</v>
      </c>
      <c r="F14" s="42">
        <v>3.3064667291471421</v>
      </c>
      <c r="G14" s="42">
        <v>0.4115155196671616</v>
      </c>
      <c r="H14" s="41">
        <v>5.6520798788840037E-3</v>
      </c>
      <c r="I14" s="41">
        <v>5.6520798788840039E-4</v>
      </c>
      <c r="J14" s="3">
        <v>27</v>
      </c>
      <c r="K14" s="41">
        <v>0.29319618584720247</v>
      </c>
      <c r="L14" s="41">
        <v>6.1571199027912523E-3</v>
      </c>
      <c r="M14" s="165">
        <f t="shared" si="0"/>
        <v>1.927746727861444E-2</v>
      </c>
      <c r="N14" s="3" t="s">
        <v>128</v>
      </c>
      <c r="O14" s="3" t="s">
        <v>139</v>
      </c>
      <c r="P14" s="42">
        <v>73.011799999999994</v>
      </c>
      <c r="Q14" s="42">
        <v>0.51655300000000004</v>
      </c>
      <c r="R14" s="42">
        <v>12.942399999999999</v>
      </c>
      <c r="S14" s="42" t="s">
        <v>107</v>
      </c>
      <c r="T14" s="42">
        <v>0.629444</v>
      </c>
      <c r="U14" s="42" t="s">
        <v>109</v>
      </c>
      <c r="V14" s="42" t="s">
        <v>108</v>
      </c>
      <c r="W14" s="42">
        <v>0.47033199999999997</v>
      </c>
      <c r="X14" s="42">
        <v>1.61025</v>
      </c>
      <c r="Y14" s="42">
        <v>7.8768700000000003</v>
      </c>
      <c r="Z14" s="42">
        <v>97.057648999999998</v>
      </c>
      <c r="AA14" s="41">
        <v>0.29319618584720247</v>
      </c>
      <c r="AB14" s="41">
        <v>6.1571199027912523E-3</v>
      </c>
    </row>
    <row r="15" spans="1:29" x14ac:dyDescent="0.2">
      <c r="A15" s="43" t="s">
        <v>21</v>
      </c>
      <c r="B15" s="3"/>
      <c r="C15" s="3">
        <v>4339</v>
      </c>
      <c r="D15" s="30">
        <v>3</v>
      </c>
      <c r="E15" s="3">
        <v>22</v>
      </c>
      <c r="F15" s="42">
        <v>3.3</v>
      </c>
      <c r="G15" s="42">
        <v>0.4</v>
      </c>
      <c r="H15" s="41">
        <v>5.6410256410256406E-3</v>
      </c>
      <c r="I15" s="41">
        <v>5.6410256410256406E-4</v>
      </c>
      <c r="J15" s="3">
        <v>28</v>
      </c>
      <c r="K15" s="41">
        <v>0.29280278599336085</v>
      </c>
      <c r="L15" s="41">
        <v>6.1488585058605784E-3</v>
      </c>
      <c r="M15" s="165">
        <f t="shared" si="0"/>
        <v>1.9265614641909685E-2</v>
      </c>
      <c r="N15" s="3" t="s">
        <v>129</v>
      </c>
      <c r="O15" s="3" t="s">
        <v>139</v>
      </c>
      <c r="P15" s="42">
        <v>71.876800000000003</v>
      </c>
      <c r="Q15" s="42">
        <v>0.48036499999999999</v>
      </c>
      <c r="R15" s="42">
        <v>12.509499999999999</v>
      </c>
      <c r="S15" s="42" t="s">
        <v>107</v>
      </c>
      <c r="T15" s="42">
        <v>0.70027200000000001</v>
      </c>
      <c r="U15" s="42" t="s">
        <v>109</v>
      </c>
      <c r="V15" s="42" t="s">
        <v>108</v>
      </c>
      <c r="W15" s="42">
        <v>0.59731100000000004</v>
      </c>
      <c r="X15" s="42">
        <v>1.5497399999999999</v>
      </c>
      <c r="Y15" s="42">
        <v>7.4443900000000003</v>
      </c>
      <c r="Z15" s="42">
        <v>95.158378000000013</v>
      </c>
      <c r="AA15" s="41">
        <v>0.29280278599336085</v>
      </c>
      <c r="AB15" s="41">
        <v>6.1488585058605784E-3</v>
      </c>
    </row>
    <row r="16" spans="1:29" x14ac:dyDescent="0.2">
      <c r="A16" s="43" t="s">
        <v>21</v>
      </c>
      <c r="B16" s="3"/>
      <c r="C16" s="3">
        <v>4284</v>
      </c>
      <c r="D16" s="30">
        <v>4</v>
      </c>
      <c r="E16" s="3" t="s">
        <v>73</v>
      </c>
      <c r="F16" s="42">
        <v>5.6</v>
      </c>
      <c r="G16" s="42">
        <v>0.7</v>
      </c>
      <c r="H16" s="41">
        <v>9.4999999999999998E-3</v>
      </c>
      <c r="I16" s="41">
        <v>1E-3</v>
      </c>
      <c r="J16" s="3">
        <v>30</v>
      </c>
      <c r="K16" s="41">
        <v>0.27900000000000003</v>
      </c>
      <c r="L16" s="41">
        <v>5.8590000000000005E-3</v>
      </c>
      <c r="M16" s="165">
        <f t="shared" si="0"/>
        <v>3.4050179211469529E-2</v>
      </c>
      <c r="N16" s="3" t="s">
        <v>116</v>
      </c>
      <c r="O16" s="3" t="s">
        <v>140</v>
      </c>
      <c r="P16" s="42">
        <v>75.180999999999997</v>
      </c>
      <c r="Q16" s="42">
        <v>0.58534399999999998</v>
      </c>
      <c r="R16" s="42">
        <v>12.418900000000001</v>
      </c>
      <c r="S16" s="42" t="s">
        <v>107</v>
      </c>
      <c r="T16" s="42">
        <v>0.65278000000000003</v>
      </c>
      <c r="U16" s="42" t="s">
        <v>109</v>
      </c>
      <c r="V16" s="42" t="s">
        <v>108</v>
      </c>
      <c r="W16" s="42">
        <v>0.74285299999999999</v>
      </c>
      <c r="X16" s="42">
        <v>1.38862</v>
      </c>
      <c r="Y16" s="42">
        <v>8.5688200000000005</v>
      </c>
      <c r="Z16" s="42">
        <v>99.538317000000021</v>
      </c>
      <c r="AA16" s="41">
        <v>0.27900000000000003</v>
      </c>
      <c r="AB16" s="41">
        <v>5.8590000000000005E-3</v>
      </c>
    </row>
    <row r="17" spans="1:28" x14ac:dyDescent="0.2">
      <c r="A17" s="43" t="s">
        <v>21</v>
      </c>
      <c r="B17" s="3"/>
      <c r="C17" s="3">
        <v>4284</v>
      </c>
      <c r="D17" s="30">
        <v>4</v>
      </c>
      <c r="E17" s="3" t="s">
        <v>73</v>
      </c>
      <c r="F17" s="42">
        <v>5.6</v>
      </c>
      <c r="G17" s="42">
        <v>0.7</v>
      </c>
      <c r="H17" s="41">
        <v>9.4999999999999998E-3</v>
      </c>
      <c r="I17" s="41">
        <v>1E-3</v>
      </c>
      <c r="J17" s="3">
        <v>31</v>
      </c>
      <c r="K17" s="41">
        <v>0.27800000000000002</v>
      </c>
      <c r="L17" s="41">
        <v>5.8380000000000012E-3</v>
      </c>
      <c r="M17" s="165">
        <f t="shared" si="0"/>
        <v>3.4172661870503593E-2</v>
      </c>
      <c r="N17" s="3" t="s">
        <v>117</v>
      </c>
      <c r="O17" s="3" t="s">
        <v>140</v>
      </c>
      <c r="P17" s="42">
        <v>75.377499999999998</v>
      </c>
      <c r="Q17" s="42">
        <v>0.59443000000000001</v>
      </c>
      <c r="R17" s="42">
        <v>12.3775</v>
      </c>
      <c r="S17" s="42" t="s">
        <v>107</v>
      </c>
      <c r="T17" s="42">
        <v>0.589453</v>
      </c>
      <c r="U17" s="42" t="s">
        <v>109</v>
      </c>
      <c r="V17" s="42" t="s">
        <v>108</v>
      </c>
      <c r="W17" s="42">
        <v>0.36926500000000001</v>
      </c>
      <c r="X17" s="42">
        <v>1.4993000000000001</v>
      </c>
      <c r="Y17" s="42">
        <v>8.6790199999999995</v>
      </c>
      <c r="Z17" s="42">
        <v>99.486468000000002</v>
      </c>
      <c r="AA17" s="41">
        <v>0.27800000000000002</v>
      </c>
      <c r="AB17" s="41">
        <v>5.8380000000000012E-3</v>
      </c>
    </row>
    <row r="18" spans="1:28" x14ac:dyDescent="0.2">
      <c r="A18" s="43" t="s">
        <v>21</v>
      </c>
      <c r="B18" s="3"/>
      <c r="C18" s="3">
        <v>4284</v>
      </c>
      <c r="D18" s="30">
        <v>4</v>
      </c>
      <c r="E18" s="3" t="s">
        <v>73</v>
      </c>
      <c r="F18" s="42">
        <v>5.6</v>
      </c>
      <c r="G18" s="42">
        <v>0.7</v>
      </c>
      <c r="H18" s="41">
        <v>9.4999999999999998E-3</v>
      </c>
      <c r="I18" s="41">
        <v>1E-3</v>
      </c>
      <c r="J18" s="3">
        <v>32</v>
      </c>
      <c r="K18" s="41">
        <v>0.27538211086135622</v>
      </c>
      <c r="L18" s="41">
        <v>5.7830243280884812E-3</v>
      </c>
      <c r="M18" s="165">
        <f t="shared" si="0"/>
        <v>3.4497520446354867E-2</v>
      </c>
      <c r="N18" s="3" t="s">
        <v>118</v>
      </c>
      <c r="O18" s="3" t="s">
        <v>140</v>
      </c>
      <c r="P18" s="42">
        <v>76.185400000000001</v>
      </c>
      <c r="Q18" s="42">
        <v>0.59925600000000001</v>
      </c>
      <c r="R18" s="42">
        <v>12.4316</v>
      </c>
      <c r="S18" s="42" t="s">
        <v>107</v>
      </c>
      <c r="T18" s="42">
        <v>0.62539699999999998</v>
      </c>
      <c r="U18" s="42" t="s">
        <v>109</v>
      </c>
      <c r="V18" s="42" t="s">
        <v>108</v>
      </c>
      <c r="W18" s="42">
        <v>0.43943399999999999</v>
      </c>
      <c r="X18" s="42">
        <v>1.48813</v>
      </c>
      <c r="Y18" s="42">
        <v>7.9910399999999999</v>
      </c>
      <c r="Z18" s="42">
        <v>99.76025700000001</v>
      </c>
      <c r="AA18" s="41">
        <v>0.27538211086135622</v>
      </c>
      <c r="AB18" s="41">
        <v>5.7830243280884812E-3</v>
      </c>
    </row>
    <row r="19" spans="1:28" x14ac:dyDescent="0.2">
      <c r="A19" s="43" t="s">
        <v>21</v>
      </c>
      <c r="B19" s="3"/>
      <c r="C19" s="3">
        <v>4284</v>
      </c>
      <c r="D19" s="30">
        <v>4</v>
      </c>
      <c r="E19" s="3" t="s">
        <v>73</v>
      </c>
      <c r="F19" s="42">
        <v>5.6</v>
      </c>
      <c r="G19" s="42">
        <v>0.7</v>
      </c>
      <c r="H19" s="41">
        <v>9.4999999999999998E-3</v>
      </c>
      <c r="I19" s="41">
        <v>1E-3</v>
      </c>
      <c r="J19" s="3">
        <v>33</v>
      </c>
      <c r="K19" s="41">
        <v>0.2768500995895799</v>
      </c>
      <c r="L19" s="41">
        <v>5.8138520913811782E-3</v>
      </c>
      <c r="M19" s="165">
        <f t="shared" si="0"/>
        <v>3.43145984562888E-2</v>
      </c>
      <c r="N19" s="3" t="s">
        <v>119</v>
      </c>
      <c r="O19" s="3" t="s">
        <v>140</v>
      </c>
      <c r="P19" s="42">
        <v>74.746600000000001</v>
      </c>
      <c r="Q19" s="42">
        <v>0.63261999999999996</v>
      </c>
      <c r="R19" s="42">
        <v>12.0944</v>
      </c>
      <c r="S19" s="42" t="s">
        <v>107</v>
      </c>
      <c r="T19" s="42">
        <v>0.64093299999999997</v>
      </c>
      <c r="U19" s="42" t="s">
        <v>109</v>
      </c>
      <c r="V19" s="42" t="s">
        <v>108</v>
      </c>
      <c r="W19" s="42">
        <v>0.57528900000000005</v>
      </c>
      <c r="X19" s="42">
        <v>1.5636000000000001</v>
      </c>
      <c r="Y19" s="42">
        <v>7.8264300000000002</v>
      </c>
      <c r="Z19" s="42">
        <v>98.079872000000009</v>
      </c>
      <c r="AA19" s="41">
        <v>0.2768500995895799</v>
      </c>
      <c r="AB19" s="41">
        <v>5.8138520913811782E-3</v>
      </c>
    </row>
    <row r="20" spans="1:28" x14ac:dyDescent="0.2">
      <c r="A20" s="43" t="s">
        <v>21</v>
      </c>
      <c r="B20" s="3"/>
      <c r="C20" s="3">
        <v>4284</v>
      </c>
      <c r="D20" s="30">
        <v>4</v>
      </c>
      <c r="E20" s="3" t="s">
        <v>73</v>
      </c>
      <c r="F20" s="42">
        <v>5.6</v>
      </c>
      <c r="G20" s="42">
        <v>0.7</v>
      </c>
      <c r="H20" s="41">
        <v>9.4999999999999998E-3</v>
      </c>
      <c r="I20" s="41">
        <v>1E-3</v>
      </c>
      <c r="J20" s="3">
        <v>34</v>
      </c>
      <c r="K20" s="41">
        <v>0.26540423148335862</v>
      </c>
      <c r="L20" s="41">
        <v>5.5734888611505317E-3</v>
      </c>
      <c r="M20" s="165">
        <f t="shared" si="0"/>
        <v>3.5794455675796824E-2</v>
      </c>
      <c r="N20" s="3" t="s">
        <v>120</v>
      </c>
      <c r="O20" s="3" t="s">
        <v>140</v>
      </c>
      <c r="P20" s="42">
        <v>78.105400000000003</v>
      </c>
      <c r="Q20" s="42">
        <v>0.66601399999999999</v>
      </c>
      <c r="R20" s="42">
        <v>12.1364</v>
      </c>
      <c r="S20" s="42" t="s">
        <v>107</v>
      </c>
      <c r="T20" s="42">
        <v>0.67289299999999996</v>
      </c>
      <c r="U20" s="42" t="s">
        <v>109</v>
      </c>
      <c r="V20" s="42" t="s">
        <v>108</v>
      </c>
      <c r="W20" s="42">
        <v>0.48815399999999998</v>
      </c>
      <c r="X20" s="42">
        <v>1.2471399999999999</v>
      </c>
      <c r="Y20" s="42">
        <v>8.6006400000000003</v>
      </c>
      <c r="Z20" s="42">
        <v>101.916641</v>
      </c>
      <c r="AA20" s="41">
        <v>0.26540423148335862</v>
      </c>
      <c r="AB20" s="41">
        <v>5.5734888611505317E-3</v>
      </c>
    </row>
    <row r="21" spans="1:28" x14ac:dyDescent="0.2">
      <c r="A21" s="43" t="s">
        <v>21</v>
      </c>
      <c r="B21" s="3" t="s">
        <v>74</v>
      </c>
      <c r="C21" s="3">
        <v>4390</v>
      </c>
      <c r="D21" s="30">
        <v>9.48</v>
      </c>
      <c r="E21" s="3">
        <v>1</v>
      </c>
      <c r="F21" s="42">
        <v>6.0654400571331921</v>
      </c>
      <c r="G21" s="42">
        <v>1.3947336498129141</v>
      </c>
      <c r="H21" s="41">
        <v>1.0368273601937081E-2</v>
      </c>
      <c r="I21" s="41">
        <v>1.0368273601937081E-3</v>
      </c>
      <c r="J21" s="3">
        <v>1</v>
      </c>
      <c r="K21" s="41">
        <v>0.28451923375503235</v>
      </c>
      <c r="L21" s="41">
        <v>5.9749039088556801E-3</v>
      </c>
      <c r="M21" s="165">
        <f t="shared" si="0"/>
        <v>3.6441380307048202E-2</v>
      </c>
      <c r="N21" s="3" t="s">
        <v>121</v>
      </c>
      <c r="O21" s="3" t="s">
        <v>139</v>
      </c>
      <c r="P21" s="88">
        <v>74.907799999999995</v>
      </c>
      <c r="Q21" s="88">
        <v>0.71869799999999995</v>
      </c>
      <c r="R21" s="88">
        <v>12.828900000000001</v>
      </c>
      <c r="S21" s="88" t="s">
        <v>107</v>
      </c>
      <c r="T21" s="88">
        <v>0.78522899999999995</v>
      </c>
      <c r="U21" s="88">
        <v>8.3322999999999994E-2</v>
      </c>
      <c r="V21" s="88" t="s">
        <v>108</v>
      </c>
      <c r="W21" s="88">
        <v>0.55691000000000002</v>
      </c>
      <c r="X21" s="88">
        <v>1.29158</v>
      </c>
      <c r="Y21" s="88">
        <v>8.4960500000000003</v>
      </c>
      <c r="Z21" s="88">
        <v>99.668489999999991</v>
      </c>
      <c r="AA21" s="41">
        <v>0.28451923375503235</v>
      </c>
      <c r="AB21" s="41">
        <v>5.9749039088556801E-3</v>
      </c>
    </row>
    <row r="22" spans="1:28" s="2" customFormat="1" x14ac:dyDescent="0.2">
      <c r="A22" s="43" t="s">
        <v>21</v>
      </c>
      <c r="B22" s="5" t="s">
        <v>75</v>
      </c>
      <c r="C22" s="5">
        <v>4330</v>
      </c>
      <c r="D22" s="50">
        <v>5.3</v>
      </c>
      <c r="E22" s="5">
        <v>2</v>
      </c>
      <c r="F22" s="51">
        <v>29.791200736717471</v>
      </c>
      <c r="G22" s="51">
        <v>5.4465573361400583</v>
      </c>
      <c r="H22" s="52">
        <v>5.0925129464474313E-2</v>
      </c>
      <c r="I22" s="52">
        <v>5.0925129464474313E-3</v>
      </c>
      <c r="J22" s="5">
        <v>1</v>
      </c>
      <c r="K22" s="52">
        <v>0.2662202025071353</v>
      </c>
      <c r="L22" s="52">
        <v>5.5906242526498418E-3</v>
      </c>
      <c r="M22" s="166">
        <f t="shared" si="0"/>
        <v>0.19128950013892881</v>
      </c>
      <c r="N22" s="5" t="s">
        <v>122</v>
      </c>
      <c r="O22" s="5" t="s">
        <v>138</v>
      </c>
      <c r="P22" s="174">
        <v>77.841300000000004</v>
      </c>
      <c r="Q22" s="174">
        <v>0.55101599999999995</v>
      </c>
      <c r="R22" s="174">
        <v>12.1287</v>
      </c>
      <c r="S22" s="174" t="s">
        <v>107</v>
      </c>
      <c r="T22" s="174">
        <v>0.71668500000000002</v>
      </c>
      <c r="U22" s="174" t="s">
        <v>109</v>
      </c>
      <c r="V22" s="174" t="s">
        <v>108</v>
      </c>
      <c r="W22" s="174">
        <v>0.47020800000000001</v>
      </c>
      <c r="X22" s="174">
        <v>0.66267200000000004</v>
      </c>
      <c r="Y22" s="174">
        <v>9.4263100000000009</v>
      </c>
      <c r="Z22" s="174">
        <v>101.796891</v>
      </c>
      <c r="AA22" s="52">
        <v>0.2662202025071353</v>
      </c>
      <c r="AB22" s="52">
        <v>5.5906242526498418E-3</v>
      </c>
    </row>
    <row r="23" spans="1:28" s="47" customFormat="1" x14ac:dyDescent="0.2">
      <c r="A23" s="43" t="s">
        <v>29</v>
      </c>
      <c r="B23" s="4" t="s">
        <v>76</v>
      </c>
      <c r="C23" s="4">
        <v>4326</v>
      </c>
      <c r="D23" s="44">
        <v>3</v>
      </c>
      <c r="E23" s="4">
        <v>1</v>
      </c>
      <c r="F23" s="45">
        <v>11.3891258997538</v>
      </c>
      <c r="G23" s="45">
        <v>1.6500224140527737</v>
      </c>
      <c r="H23" s="46">
        <v>1.9468591281630428E-2</v>
      </c>
      <c r="I23" s="46">
        <v>1.9468591281630427E-3</v>
      </c>
      <c r="J23" s="4">
        <v>2</v>
      </c>
      <c r="K23" s="46">
        <v>0.28100000000000003</v>
      </c>
      <c r="L23" s="46">
        <v>5.9010000000000009E-3</v>
      </c>
      <c r="M23" s="164">
        <f t="shared" si="0"/>
        <v>6.9283242995126074E-2</v>
      </c>
      <c r="N23" s="3" t="s">
        <v>123</v>
      </c>
      <c r="O23" s="90" t="s">
        <v>140</v>
      </c>
      <c r="P23" s="42">
        <v>74.106399999999994</v>
      </c>
      <c r="Q23" s="42">
        <v>0.77308500000000002</v>
      </c>
      <c r="R23" s="42">
        <v>12.2827</v>
      </c>
      <c r="S23" s="42" t="s">
        <v>107</v>
      </c>
      <c r="T23" s="42">
        <v>0.73333499999999996</v>
      </c>
      <c r="U23" s="42" t="s">
        <v>109</v>
      </c>
      <c r="V23" s="42" t="s">
        <v>108</v>
      </c>
      <c r="W23" s="42">
        <v>0.57226100000000002</v>
      </c>
      <c r="X23" s="42">
        <v>1.20608</v>
      </c>
      <c r="Y23" s="42">
        <v>6.4029800000000003</v>
      </c>
      <c r="Z23" s="42">
        <v>96.076840999999988</v>
      </c>
      <c r="AA23" s="41">
        <v>0.28100000000000003</v>
      </c>
      <c r="AB23" s="41">
        <v>5.9010000000000009E-3</v>
      </c>
    </row>
    <row r="24" spans="1:28" x14ac:dyDescent="0.2">
      <c r="A24" s="43" t="s">
        <v>29</v>
      </c>
      <c r="B24" s="3"/>
      <c r="C24" s="3">
        <v>4326</v>
      </c>
      <c r="D24" s="30">
        <v>3</v>
      </c>
      <c r="E24" s="3">
        <v>1</v>
      </c>
      <c r="F24" s="42">
        <v>11.3891258997538</v>
      </c>
      <c r="G24" s="42">
        <v>1.6500224140527737</v>
      </c>
      <c r="H24" s="41">
        <v>1.9468591281630428E-2</v>
      </c>
      <c r="I24" s="41">
        <v>1.9468591281630427E-3</v>
      </c>
      <c r="J24" s="3">
        <v>3</v>
      </c>
      <c r="K24" s="41">
        <v>0.27800000000000002</v>
      </c>
      <c r="L24" s="41">
        <v>5.8380000000000012E-3</v>
      </c>
      <c r="M24" s="165">
        <f t="shared" si="0"/>
        <v>7.0030903890756932E-2</v>
      </c>
      <c r="N24" s="3" t="s">
        <v>130</v>
      </c>
      <c r="O24" s="90" t="s">
        <v>140</v>
      </c>
      <c r="P24" s="42">
        <v>74.052300000000002</v>
      </c>
      <c r="Q24" s="42">
        <v>0.73686799999999997</v>
      </c>
      <c r="R24" s="42">
        <v>11.950900000000001</v>
      </c>
      <c r="S24" s="42" t="s">
        <v>107</v>
      </c>
      <c r="T24" s="42">
        <v>0.654806</v>
      </c>
      <c r="U24" s="42" t="s">
        <v>109</v>
      </c>
      <c r="V24" s="42" t="s">
        <v>108</v>
      </c>
      <c r="W24" s="42">
        <v>0.47222599999999998</v>
      </c>
      <c r="X24" s="42">
        <v>1.2338499999999999</v>
      </c>
      <c r="Y24" s="42">
        <v>6.7752499999999998</v>
      </c>
      <c r="Z24" s="42">
        <v>95.876200000000011</v>
      </c>
      <c r="AA24" s="41">
        <v>0.27800000000000002</v>
      </c>
      <c r="AB24" s="41">
        <v>5.8380000000000012E-3</v>
      </c>
    </row>
    <row r="25" spans="1:28" x14ac:dyDescent="0.2">
      <c r="A25" s="43" t="s">
        <v>29</v>
      </c>
      <c r="B25" s="3"/>
      <c r="C25" s="3">
        <v>4344</v>
      </c>
      <c r="D25" s="30">
        <v>8</v>
      </c>
      <c r="E25" s="3">
        <v>1</v>
      </c>
      <c r="F25" s="42">
        <v>11.3891258997538</v>
      </c>
      <c r="G25" s="42">
        <v>1.6500224140527737</v>
      </c>
      <c r="H25" s="41">
        <v>1.9468591281630428E-2</v>
      </c>
      <c r="I25" s="41">
        <v>1.9468591281630427E-3</v>
      </c>
      <c r="J25" s="3">
        <v>12</v>
      </c>
      <c r="K25" s="41">
        <v>0.29299999999999998</v>
      </c>
      <c r="L25" s="41">
        <v>6.1529999999999996E-3</v>
      </c>
      <c r="M25" s="165">
        <f t="shared" si="0"/>
        <v>6.6445704032868355E-2</v>
      </c>
      <c r="N25" s="3" t="s">
        <v>131</v>
      </c>
      <c r="O25" s="90" t="s">
        <v>140</v>
      </c>
      <c r="P25" s="42">
        <v>71.942800000000005</v>
      </c>
      <c r="Q25" s="42">
        <v>0.53103699999999998</v>
      </c>
      <c r="R25" s="42">
        <v>12.530200000000001</v>
      </c>
      <c r="S25" s="42" t="s">
        <v>107</v>
      </c>
      <c r="T25" s="42">
        <v>0.68020099999999994</v>
      </c>
      <c r="U25" s="42" t="s">
        <v>109</v>
      </c>
      <c r="V25" s="42">
        <v>3.1801999999999997E-2</v>
      </c>
      <c r="W25" s="42">
        <v>0.49057400000000001</v>
      </c>
      <c r="X25" s="42">
        <v>1.74793</v>
      </c>
      <c r="Y25" s="42">
        <v>7.9554900000000002</v>
      </c>
      <c r="Z25" s="42">
        <v>95.910033999999996</v>
      </c>
      <c r="AA25" s="41">
        <v>0.29299999999999998</v>
      </c>
      <c r="AB25" s="41">
        <v>6.1529999999999996E-3</v>
      </c>
    </row>
    <row r="26" spans="1:28" x14ac:dyDescent="0.2">
      <c r="A26" s="43" t="s">
        <v>29</v>
      </c>
      <c r="B26" s="3"/>
      <c r="C26" s="3">
        <v>4344</v>
      </c>
      <c r="D26" s="30">
        <v>8</v>
      </c>
      <c r="E26" s="3">
        <v>1</v>
      </c>
      <c r="F26" s="42">
        <v>11.3891258997538</v>
      </c>
      <c r="G26" s="42">
        <v>1.6500224140527737</v>
      </c>
      <c r="H26" s="41">
        <v>1.9468591281630428E-2</v>
      </c>
      <c r="I26" s="41">
        <v>1.9468591281630427E-3</v>
      </c>
      <c r="J26" s="3">
        <v>13</v>
      </c>
      <c r="K26" s="41">
        <v>0.254</v>
      </c>
      <c r="L26" s="41">
        <v>5.3340000000000002E-3</v>
      </c>
      <c r="M26" s="165">
        <f t="shared" si="0"/>
        <v>7.6647997171773341E-2</v>
      </c>
      <c r="N26" s="3" t="s">
        <v>132</v>
      </c>
      <c r="O26" s="90" t="s">
        <v>140</v>
      </c>
      <c r="P26" s="42">
        <v>78.022999999999996</v>
      </c>
      <c r="Q26" s="42">
        <v>0.61023799999999995</v>
      </c>
      <c r="R26" s="42">
        <v>11.1302</v>
      </c>
      <c r="S26" s="42" t="s">
        <v>107</v>
      </c>
      <c r="T26" s="42">
        <v>0.62054200000000004</v>
      </c>
      <c r="U26" s="42" t="s">
        <v>109</v>
      </c>
      <c r="V26" s="42">
        <v>2.1562999999999999E-2</v>
      </c>
      <c r="W26" s="42">
        <v>0.35479500000000003</v>
      </c>
      <c r="X26" s="42">
        <v>1.1741900000000001</v>
      </c>
      <c r="Y26" s="42">
        <v>6.6306500000000002</v>
      </c>
      <c r="Z26" s="42">
        <v>98.565177999999989</v>
      </c>
      <c r="AA26" s="41">
        <v>0.254</v>
      </c>
      <c r="AB26" s="41">
        <v>5.3340000000000002E-3</v>
      </c>
    </row>
    <row r="27" spans="1:28" x14ac:dyDescent="0.2">
      <c r="A27" s="43" t="s">
        <v>29</v>
      </c>
      <c r="B27" s="3"/>
      <c r="C27" s="3">
        <v>4330</v>
      </c>
      <c r="D27" s="30">
        <v>3</v>
      </c>
      <c r="E27" s="3">
        <v>1</v>
      </c>
      <c r="F27" s="42">
        <v>11.3891258997538</v>
      </c>
      <c r="G27" s="42">
        <v>1.6500224140527737</v>
      </c>
      <c r="H27" s="41">
        <v>1.9468591281630428E-2</v>
      </c>
      <c r="I27" s="41">
        <v>1.9468591281630427E-3</v>
      </c>
      <c r="J27" s="3">
        <v>14</v>
      </c>
      <c r="K27" s="41">
        <v>0.27500000000000002</v>
      </c>
      <c r="L27" s="41">
        <v>5.7750000000000006E-3</v>
      </c>
      <c r="M27" s="165">
        <f t="shared" si="0"/>
        <v>7.0794877387747007E-2</v>
      </c>
      <c r="N27" s="3" t="s">
        <v>133</v>
      </c>
      <c r="O27" s="90" t="s">
        <v>140</v>
      </c>
      <c r="P27" s="42">
        <v>74.670599999999993</v>
      </c>
      <c r="Q27" s="42">
        <v>0.49800699999999998</v>
      </c>
      <c r="R27" s="42">
        <v>11.911</v>
      </c>
      <c r="S27" s="42" t="s">
        <v>107</v>
      </c>
      <c r="T27" s="42">
        <v>0.57322899999999999</v>
      </c>
      <c r="U27" s="42" t="s">
        <v>109</v>
      </c>
      <c r="V27" s="42">
        <v>2.9197000000000001E-2</v>
      </c>
      <c r="W27" s="42">
        <v>0.52976000000000001</v>
      </c>
      <c r="X27" s="42">
        <v>1.22279</v>
      </c>
      <c r="Y27" s="42">
        <v>6.2003000000000004</v>
      </c>
      <c r="Z27" s="42">
        <v>95.634882999999988</v>
      </c>
      <c r="AA27" s="41">
        <v>0.27500000000000002</v>
      </c>
      <c r="AB27" s="41">
        <v>5.7750000000000006E-3</v>
      </c>
    </row>
    <row r="28" spans="1:28" x14ac:dyDescent="0.2">
      <c r="A28" s="43" t="s">
        <v>29</v>
      </c>
      <c r="B28" s="3"/>
      <c r="C28" s="3">
        <v>4330</v>
      </c>
      <c r="D28" s="30">
        <v>3</v>
      </c>
      <c r="E28" s="3">
        <v>1</v>
      </c>
      <c r="F28" s="42">
        <v>11.3891258997538</v>
      </c>
      <c r="G28" s="42">
        <v>1.6500224140527737</v>
      </c>
      <c r="H28" s="41">
        <v>1.9468591281630428E-2</v>
      </c>
      <c r="I28" s="41">
        <v>1.9468591281630427E-3</v>
      </c>
      <c r="J28" s="3">
        <v>15</v>
      </c>
      <c r="K28" s="41">
        <v>0.27900000000000003</v>
      </c>
      <c r="L28" s="41">
        <v>5.8590000000000005E-3</v>
      </c>
      <c r="M28" s="165">
        <f t="shared" si="0"/>
        <v>6.9779897066775717E-2</v>
      </c>
      <c r="N28" s="3" t="s">
        <v>125</v>
      </c>
      <c r="O28" s="90" t="s">
        <v>140</v>
      </c>
      <c r="P28" s="42">
        <v>74.466499999999996</v>
      </c>
      <c r="Q28" s="42">
        <v>0.56805300000000003</v>
      </c>
      <c r="R28" s="42">
        <v>12.2339</v>
      </c>
      <c r="S28" s="42" t="s">
        <v>107</v>
      </c>
      <c r="T28" s="42">
        <v>0.59688300000000005</v>
      </c>
      <c r="U28" s="42" t="s">
        <v>109</v>
      </c>
      <c r="V28" s="42">
        <v>1.7527000000000001E-2</v>
      </c>
      <c r="W28" s="42">
        <v>0.52954999999999997</v>
      </c>
      <c r="X28" s="42">
        <v>1.1794100000000001</v>
      </c>
      <c r="Y28" s="42">
        <v>6.0104699999999998</v>
      </c>
      <c r="Z28" s="42">
        <v>95.602293000000017</v>
      </c>
      <c r="AA28" s="41">
        <v>0.27900000000000003</v>
      </c>
      <c r="AB28" s="41">
        <v>5.8590000000000005E-3</v>
      </c>
    </row>
    <row r="29" spans="1:28" x14ac:dyDescent="0.2">
      <c r="A29" s="43" t="s">
        <v>29</v>
      </c>
      <c r="B29" s="3"/>
      <c r="C29" s="3">
        <v>4330</v>
      </c>
      <c r="D29" s="30">
        <v>3</v>
      </c>
      <c r="E29" s="3">
        <v>1</v>
      </c>
      <c r="F29" s="42">
        <v>11.3891258997538</v>
      </c>
      <c r="G29" s="42">
        <v>1.6500224140527737</v>
      </c>
      <c r="H29" s="41">
        <v>1.9468591281630428E-2</v>
      </c>
      <c r="I29" s="41">
        <v>1.9468591281630427E-3</v>
      </c>
      <c r="J29" s="3">
        <v>17</v>
      </c>
      <c r="K29" s="41">
        <v>0.27100000000000002</v>
      </c>
      <c r="L29" s="41">
        <v>5.6910000000000007E-3</v>
      </c>
      <c r="M29" s="165">
        <f t="shared" si="0"/>
        <v>7.1839820227418541E-2</v>
      </c>
      <c r="N29" s="5" t="s">
        <v>134</v>
      </c>
      <c r="O29" s="5" t="s">
        <v>138</v>
      </c>
      <c r="P29" s="51">
        <v>78.6631</v>
      </c>
      <c r="Q29" s="51">
        <v>0.47150799999999998</v>
      </c>
      <c r="R29" s="51">
        <v>12.7941</v>
      </c>
      <c r="S29" s="51" t="s">
        <v>107</v>
      </c>
      <c r="T29" s="51">
        <v>0.58318499999999995</v>
      </c>
      <c r="U29" s="51" t="s">
        <v>109</v>
      </c>
      <c r="V29" s="51" t="s">
        <v>108</v>
      </c>
      <c r="W29" s="51">
        <v>0.52968499999999996</v>
      </c>
      <c r="X29" s="51">
        <v>1.2443200000000001</v>
      </c>
      <c r="Y29" s="51">
        <v>6.21814</v>
      </c>
      <c r="Z29" s="51">
        <v>100.50403800000001</v>
      </c>
      <c r="AA29" s="52">
        <v>0.27100000000000002</v>
      </c>
      <c r="AB29" s="52">
        <v>5.6910000000000007E-3</v>
      </c>
    </row>
    <row r="30" spans="1:28" x14ac:dyDescent="0.2">
      <c r="A30" s="43" t="s">
        <v>29</v>
      </c>
      <c r="B30" s="3" t="s">
        <v>77</v>
      </c>
      <c r="C30" s="3">
        <v>4190</v>
      </c>
      <c r="D30" s="30">
        <v>7.52</v>
      </c>
      <c r="E30" s="3">
        <v>1</v>
      </c>
      <c r="F30" s="42">
        <v>12.749873141761732</v>
      </c>
      <c r="G30" s="42">
        <v>1.8248438138751308</v>
      </c>
      <c r="H30" s="41">
        <v>2.1794654943182449E-2</v>
      </c>
      <c r="I30" s="41">
        <v>2.179465494318245E-3</v>
      </c>
      <c r="J30" s="3">
        <v>1</v>
      </c>
      <c r="K30" s="41">
        <v>0.26300000000000001</v>
      </c>
      <c r="L30" s="41">
        <v>5.523000000000001E-3</v>
      </c>
      <c r="M30" s="165">
        <f t="shared" si="0"/>
        <v>8.2869410430351509E-2</v>
      </c>
      <c r="N30" s="4" t="s">
        <v>122</v>
      </c>
      <c r="O30" s="89" t="s">
        <v>140</v>
      </c>
      <c r="P30" s="45">
        <v>76.438900000000004</v>
      </c>
      <c r="Q30" s="45">
        <v>0.72206800000000004</v>
      </c>
      <c r="R30" s="45">
        <v>11.399900000000001</v>
      </c>
      <c r="S30" s="45" t="s">
        <v>107</v>
      </c>
      <c r="T30" s="45">
        <v>0.38446900000000001</v>
      </c>
      <c r="U30" s="45" t="s">
        <v>109</v>
      </c>
      <c r="V30" s="45" t="s">
        <v>108</v>
      </c>
      <c r="W30" s="45">
        <v>0.36653200000000002</v>
      </c>
      <c r="X30" s="45">
        <v>1.5992200000000001</v>
      </c>
      <c r="Y30" s="45">
        <v>7.0146199999999999</v>
      </c>
      <c r="Z30" s="45">
        <v>97.925708999999998</v>
      </c>
      <c r="AA30" s="46">
        <v>0.26300000000000001</v>
      </c>
      <c r="AB30" s="46">
        <v>5.523000000000001E-3</v>
      </c>
    </row>
    <row r="31" spans="1:28" x14ac:dyDescent="0.2">
      <c r="A31" s="43" t="s">
        <v>29</v>
      </c>
      <c r="B31" s="3"/>
      <c r="C31" s="3">
        <v>4190</v>
      </c>
      <c r="D31" s="30">
        <v>7.52</v>
      </c>
      <c r="E31" s="3">
        <v>1</v>
      </c>
      <c r="F31" s="42">
        <v>12.749873141761732</v>
      </c>
      <c r="G31" s="42">
        <v>1.8248438138751308</v>
      </c>
      <c r="H31" s="41">
        <v>2.1794654943182449E-2</v>
      </c>
      <c r="I31" s="41">
        <v>2.179465494318245E-3</v>
      </c>
      <c r="J31" s="3">
        <v>2</v>
      </c>
      <c r="K31" s="41">
        <v>0.26400000000000001</v>
      </c>
      <c r="L31" s="41">
        <v>5.5440000000000003E-3</v>
      </c>
      <c r="M31" s="165">
        <f t="shared" si="0"/>
        <v>8.2555511148418359E-2</v>
      </c>
      <c r="N31" s="3" t="s">
        <v>123</v>
      </c>
      <c r="O31" s="3" t="s">
        <v>140</v>
      </c>
      <c r="P31" s="42">
        <v>75.046199999999999</v>
      </c>
      <c r="Q31" s="42">
        <v>0.60853199999999996</v>
      </c>
      <c r="R31" s="42">
        <v>11.0617</v>
      </c>
      <c r="S31" s="42" t="s">
        <v>107</v>
      </c>
      <c r="T31" s="42">
        <v>0.50978500000000004</v>
      </c>
      <c r="U31" s="42" t="s">
        <v>109</v>
      </c>
      <c r="V31" s="42">
        <v>3.3043000000000003E-2</v>
      </c>
      <c r="W31" s="42">
        <v>0.32732600000000001</v>
      </c>
      <c r="X31" s="42">
        <v>1.55525</v>
      </c>
      <c r="Y31" s="42">
        <v>7.2182599999999999</v>
      </c>
      <c r="Z31" s="42">
        <v>96.360095999999999</v>
      </c>
      <c r="AA31" s="41">
        <v>0.26400000000000001</v>
      </c>
      <c r="AB31" s="41">
        <v>5.5440000000000003E-3</v>
      </c>
    </row>
    <row r="32" spans="1:28" x14ac:dyDescent="0.2">
      <c r="A32" s="43" t="s">
        <v>29</v>
      </c>
      <c r="B32" s="3"/>
      <c r="C32" s="3">
        <v>4190</v>
      </c>
      <c r="D32" s="30">
        <v>7.52</v>
      </c>
      <c r="E32" s="3">
        <v>1</v>
      </c>
      <c r="F32" s="42">
        <v>12.749873141761732</v>
      </c>
      <c r="G32" s="42">
        <v>1.8248438138751308</v>
      </c>
      <c r="H32" s="41">
        <v>2.1794654943182449E-2</v>
      </c>
      <c r="I32" s="41">
        <v>2.179465494318245E-3</v>
      </c>
      <c r="J32" s="3">
        <v>4</v>
      </c>
      <c r="K32" s="41">
        <v>0.27300000000000002</v>
      </c>
      <c r="L32" s="41">
        <v>5.7330000000000011E-3</v>
      </c>
      <c r="M32" s="165">
        <f t="shared" si="0"/>
        <v>7.9833900890778201E-2</v>
      </c>
      <c r="N32" s="3" t="s">
        <v>124</v>
      </c>
      <c r="O32" s="3" t="s">
        <v>140</v>
      </c>
      <c r="P32" s="42">
        <v>74.032399999999996</v>
      </c>
      <c r="Q32" s="42">
        <v>0.66848399999999997</v>
      </c>
      <c r="R32" s="42">
        <v>11.567600000000001</v>
      </c>
      <c r="S32" s="42" t="s">
        <v>107</v>
      </c>
      <c r="T32" s="42">
        <v>0.51568999999999998</v>
      </c>
      <c r="U32" s="42" t="s">
        <v>109</v>
      </c>
      <c r="V32" s="42">
        <v>2.2485999999999999E-2</v>
      </c>
      <c r="W32" s="42">
        <v>0.42780200000000002</v>
      </c>
      <c r="X32" s="42">
        <v>1.51807</v>
      </c>
      <c r="Y32" s="42">
        <v>7.4603099999999998</v>
      </c>
      <c r="Z32" s="42">
        <v>96.212841999999995</v>
      </c>
      <c r="AA32" s="41">
        <v>0.27300000000000002</v>
      </c>
      <c r="AB32" s="41">
        <v>5.7330000000000011E-3</v>
      </c>
    </row>
    <row r="33" spans="1:28" x14ac:dyDescent="0.2">
      <c r="A33" s="43" t="s">
        <v>29</v>
      </c>
      <c r="B33" s="3"/>
      <c r="C33" s="3">
        <v>4190</v>
      </c>
      <c r="D33" s="30">
        <v>7.52</v>
      </c>
      <c r="E33" s="3">
        <v>1</v>
      </c>
      <c r="F33" s="42">
        <v>12.749873141761732</v>
      </c>
      <c r="G33" s="42">
        <v>1.8248438138751308</v>
      </c>
      <c r="H33" s="41">
        <v>2.1794654943182449E-2</v>
      </c>
      <c r="I33" s="41">
        <v>2.179465494318245E-3</v>
      </c>
      <c r="J33" s="3">
        <v>6</v>
      </c>
      <c r="K33" s="41">
        <v>0.25</v>
      </c>
      <c r="L33" s="41">
        <v>5.2500000000000003E-3</v>
      </c>
      <c r="M33" s="165">
        <f t="shared" si="0"/>
        <v>8.7178619772729796E-2</v>
      </c>
      <c r="N33" s="3" t="s">
        <v>136</v>
      </c>
      <c r="O33" s="3" t="s">
        <v>140</v>
      </c>
      <c r="P33" s="42">
        <v>79.606099999999998</v>
      </c>
      <c r="Q33" s="42">
        <v>0.79330400000000001</v>
      </c>
      <c r="R33" s="42">
        <v>11.1746</v>
      </c>
      <c r="S33" s="42" t="s">
        <v>107</v>
      </c>
      <c r="T33" s="42">
        <v>0.53226300000000004</v>
      </c>
      <c r="U33" s="42" t="s">
        <v>109</v>
      </c>
      <c r="V33" s="42" t="s">
        <v>108</v>
      </c>
      <c r="W33" s="42">
        <v>0.27942800000000001</v>
      </c>
      <c r="X33" s="42">
        <v>1.4369799999999999</v>
      </c>
      <c r="Y33" s="42">
        <v>6.7337400000000001</v>
      </c>
      <c r="Z33" s="42">
        <v>100.556415</v>
      </c>
      <c r="AA33" s="41">
        <v>0.25</v>
      </c>
      <c r="AB33" s="41">
        <v>5.2500000000000003E-3</v>
      </c>
    </row>
    <row r="34" spans="1:28" x14ac:dyDescent="0.2">
      <c r="A34" s="43" t="s">
        <v>29</v>
      </c>
      <c r="B34" s="3"/>
      <c r="C34" s="3">
        <v>4190</v>
      </c>
      <c r="D34" s="30">
        <v>7.52</v>
      </c>
      <c r="E34" s="3">
        <v>1</v>
      </c>
      <c r="F34" s="42">
        <v>12.749873141761732</v>
      </c>
      <c r="G34" s="42">
        <v>1.8248438138751308</v>
      </c>
      <c r="H34" s="41">
        <v>2.1794654943182449E-2</v>
      </c>
      <c r="I34" s="41">
        <v>2.179465494318245E-3</v>
      </c>
      <c r="J34" s="3">
        <v>7</v>
      </c>
      <c r="K34" s="41">
        <v>0.26700000000000002</v>
      </c>
      <c r="L34" s="41">
        <v>5.6070000000000009E-3</v>
      </c>
      <c r="M34" s="165">
        <f t="shared" si="0"/>
        <v>8.1627921135514786E-2</v>
      </c>
      <c r="N34" s="3" t="s">
        <v>137</v>
      </c>
      <c r="O34" s="3" t="s">
        <v>140</v>
      </c>
      <c r="P34" s="42">
        <v>76.307199999999995</v>
      </c>
      <c r="Q34" s="42">
        <v>0.79310000000000003</v>
      </c>
      <c r="R34" s="42">
        <v>11.7028</v>
      </c>
      <c r="S34" s="42" t="s">
        <v>107</v>
      </c>
      <c r="T34" s="42">
        <v>0.51033300000000004</v>
      </c>
      <c r="U34" s="42" t="s">
        <v>109</v>
      </c>
      <c r="V34" s="42" t="s">
        <v>108</v>
      </c>
      <c r="W34" s="42">
        <v>0.43647000000000002</v>
      </c>
      <c r="X34" s="42">
        <v>1.55996</v>
      </c>
      <c r="Y34" s="42">
        <v>6.9449899999999998</v>
      </c>
      <c r="Z34" s="42">
        <v>98.254852999999997</v>
      </c>
      <c r="AA34" s="41">
        <v>0.26700000000000002</v>
      </c>
      <c r="AB34" s="41">
        <v>5.6070000000000009E-3</v>
      </c>
    </row>
    <row r="35" spans="1:28" x14ac:dyDescent="0.2">
      <c r="A35" s="43" t="s">
        <v>29</v>
      </c>
      <c r="B35" s="3" t="s">
        <v>78</v>
      </c>
      <c r="C35" s="3">
        <v>4220</v>
      </c>
      <c r="D35" s="30">
        <v>10</v>
      </c>
      <c r="E35" s="3">
        <v>1</v>
      </c>
      <c r="F35" s="42">
        <v>7.3016970813208291</v>
      </c>
      <c r="G35" s="42">
        <v>1.195260181517678</v>
      </c>
      <c r="H35" s="41">
        <v>1.2481533472343298E-2</v>
      </c>
      <c r="I35" s="41">
        <v>1.2481533472343297E-3</v>
      </c>
      <c r="J35" s="3">
        <v>1</v>
      </c>
      <c r="K35" s="41">
        <v>0.26700000000000002</v>
      </c>
      <c r="L35" s="41">
        <v>5.6070000000000009E-3</v>
      </c>
      <c r="M35" s="165">
        <f t="shared" si="0"/>
        <v>4.6747316375817589E-2</v>
      </c>
      <c r="N35" s="3" t="s">
        <v>122</v>
      </c>
      <c r="O35" s="90" t="s">
        <v>140</v>
      </c>
      <c r="P35" s="42">
        <v>75.325699999999998</v>
      </c>
      <c r="Q35" s="42">
        <v>0.87890000000000001</v>
      </c>
      <c r="R35" s="42">
        <v>11.431900000000001</v>
      </c>
      <c r="S35" s="42" t="s">
        <v>107</v>
      </c>
      <c r="T35" s="42">
        <v>0.355466</v>
      </c>
      <c r="U35" s="42" t="s">
        <v>109</v>
      </c>
      <c r="V35" s="42" t="s">
        <v>108</v>
      </c>
      <c r="W35" s="42">
        <v>0.36670199999999997</v>
      </c>
      <c r="X35" s="42">
        <v>1.8807199999999999</v>
      </c>
      <c r="Y35" s="42">
        <v>6.6931399999999996</v>
      </c>
      <c r="Z35" s="42">
        <v>96.932528000000005</v>
      </c>
      <c r="AA35" s="41">
        <v>0.26700000000000002</v>
      </c>
      <c r="AB35" s="41">
        <v>5.6070000000000009E-3</v>
      </c>
    </row>
    <row r="36" spans="1:28" x14ac:dyDescent="0.2">
      <c r="A36" s="43" t="s">
        <v>29</v>
      </c>
      <c r="B36" s="3"/>
      <c r="C36" s="3">
        <v>4220</v>
      </c>
      <c r="D36" s="30">
        <v>10</v>
      </c>
      <c r="E36" s="3">
        <v>1</v>
      </c>
      <c r="F36" s="42">
        <v>7.3016970813208291</v>
      </c>
      <c r="G36" s="42">
        <v>1.195260181517678</v>
      </c>
      <c r="H36" s="41">
        <v>1.2481533472343298E-2</v>
      </c>
      <c r="I36" s="41">
        <v>1.2481533472343297E-3</v>
      </c>
      <c r="J36" s="3">
        <v>2</v>
      </c>
      <c r="K36" s="41">
        <v>0.27100000000000002</v>
      </c>
      <c r="L36" s="41">
        <v>5.6910000000000007E-3</v>
      </c>
      <c r="M36" s="165">
        <f t="shared" si="0"/>
        <v>4.6057319086137624E-2</v>
      </c>
      <c r="N36" s="3" t="s">
        <v>123</v>
      </c>
      <c r="O36" s="90" t="s">
        <v>140</v>
      </c>
      <c r="P36" s="42">
        <v>74.6023</v>
      </c>
      <c r="Q36" s="42">
        <v>0.79663799999999996</v>
      </c>
      <c r="R36" s="42">
        <v>11.517200000000001</v>
      </c>
      <c r="S36" s="42" t="s">
        <v>107</v>
      </c>
      <c r="T36" s="42">
        <v>0.40642200000000001</v>
      </c>
      <c r="U36" s="42" t="s">
        <v>109</v>
      </c>
      <c r="V36" s="42" t="s">
        <v>108</v>
      </c>
      <c r="W36" s="42">
        <v>0.44983099999999998</v>
      </c>
      <c r="X36" s="42">
        <v>1.72679</v>
      </c>
      <c r="Y36" s="42">
        <v>7.0548099999999998</v>
      </c>
      <c r="Z36" s="42">
        <v>96.553991000000011</v>
      </c>
      <c r="AA36" s="41">
        <v>0.27100000000000002</v>
      </c>
      <c r="AB36" s="41">
        <v>5.6910000000000007E-3</v>
      </c>
    </row>
    <row r="37" spans="1:28" x14ac:dyDescent="0.2">
      <c r="A37" s="43" t="s">
        <v>29</v>
      </c>
      <c r="B37" s="3"/>
      <c r="C37" s="3">
        <v>4220</v>
      </c>
      <c r="D37" s="30">
        <v>10</v>
      </c>
      <c r="E37" s="3">
        <v>1</v>
      </c>
      <c r="F37" s="42">
        <v>7.3016970813208291</v>
      </c>
      <c r="G37" s="42">
        <v>1.195260181517678</v>
      </c>
      <c r="H37" s="41">
        <v>1.2481533472343298E-2</v>
      </c>
      <c r="I37" s="41">
        <v>1.2481533472343297E-3</v>
      </c>
      <c r="J37" s="3">
        <v>3</v>
      </c>
      <c r="K37" s="41">
        <v>0.28000000000000003</v>
      </c>
      <c r="L37" s="41">
        <v>5.8800000000000007E-3</v>
      </c>
      <c r="M37" s="165">
        <f t="shared" si="0"/>
        <v>4.4576905258368917E-2</v>
      </c>
      <c r="N37" s="3" t="s">
        <v>130</v>
      </c>
      <c r="O37" s="90" t="s">
        <v>140</v>
      </c>
      <c r="P37" s="42">
        <v>74.494500000000002</v>
      </c>
      <c r="Q37" s="42">
        <v>0.64436800000000005</v>
      </c>
      <c r="R37" s="42">
        <v>12.297499999999999</v>
      </c>
      <c r="S37" s="42" t="s">
        <v>107</v>
      </c>
      <c r="T37" s="42">
        <v>0.57147700000000001</v>
      </c>
      <c r="U37" s="42" t="s">
        <v>109</v>
      </c>
      <c r="V37" s="42" t="s">
        <v>108</v>
      </c>
      <c r="W37" s="42">
        <v>0.45873399999999998</v>
      </c>
      <c r="X37" s="42">
        <v>1.87551</v>
      </c>
      <c r="Y37" s="42">
        <v>7.1375900000000003</v>
      </c>
      <c r="Z37" s="42">
        <v>97.479679000000019</v>
      </c>
      <c r="AA37" s="41">
        <v>0.28000000000000003</v>
      </c>
      <c r="AB37" s="41">
        <v>5.8800000000000007E-3</v>
      </c>
    </row>
    <row r="38" spans="1:28" x14ac:dyDescent="0.2">
      <c r="A38" s="43" t="s">
        <v>29</v>
      </c>
      <c r="B38" s="3"/>
      <c r="C38" s="3">
        <v>4220</v>
      </c>
      <c r="D38" s="30">
        <v>10</v>
      </c>
      <c r="E38" s="3">
        <v>1</v>
      </c>
      <c r="F38" s="42">
        <v>7.3016970813208291</v>
      </c>
      <c r="G38" s="42">
        <v>1.195260181517678</v>
      </c>
      <c r="H38" s="41">
        <v>1.2481533472343298E-2</v>
      </c>
      <c r="I38" s="41">
        <v>1.2481533472343297E-3</v>
      </c>
      <c r="J38" s="3">
        <v>4</v>
      </c>
      <c r="K38" s="41">
        <v>0.28100000000000003</v>
      </c>
      <c r="L38" s="41">
        <v>5.9010000000000009E-3</v>
      </c>
      <c r="M38" s="165">
        <f t="shared" si="0"/>
        <v>4.4418268584851588E-2</v>
      </c>
      <c r="N38" s="3" t="s">
        <v>124</v>
      </c>
      <c r="O38" s="90" t="s">
        <v>140</v>
      </c>
      <c r="P38" s="42">
        <v>72.476200000000006</v>
      </c>
      <c r="Q38" s="42">
        <v>0.64143700000000003</v>
      </c>
      <c r="R38" s="42">
        <v>11.7355</v>
      </c>
      <c r="S38" s="42" t="s">
        <v>107</v>
      </c>
      <c r="T38" s="42">
        <v>0.41214800000000001</v>
      </c>
      <c r="U38" s="42" t="s">
        <v>109</v>
      </c>
      <c r="V38" s="42" t="s">
        <v>108</v>
      </c>
      <c r="W38" s="42">
        <v>0.44603500000000001</v>
      </c>
      <c r="X38" s="42">
        <v>1.4593700000000001</v>
      </c>
      <c r="Y38" s="42">
        <v>7.8753000000000002</v>
      </c>
      <c r="Z38" s="42">
        <v>95.045990000000003</v>
      </c>
      <c r="AA38" s="41">
        <v>0.28100000000000003</v>
      </c>
      <c r="AB38" s="41">
        <v>5.9010000000000009E-3</v>
      </c>
    </row>
    <row r="39" spans="1:28" x14ac:dyDescent="0.2">
      <c r="A39" s="43" t="s">
        <v>29</v>
      </c>
      <c r="B39" s="3" t="s">
        <v>79</v>
      </c>
      <c r="C39" s="3">
        <v>4310</v>
      </c>
      <c r="D39" s="30">
        <v>15</v>
      </c>
      <c r="E39" s="3">
        <v>2</v>
      </c>
      <c r="F39" s="42">
        <v>10.825461857956359</v>
      </c>
      <c r="G39" s="42">
        <v>1.3361990171428642</v>
      </c>
      <c r="H39" s="41">
        <v>1.8505063005053606E-2</v>
      </c>
      <c r="I39" s="41">
        <v>1.8505063005053606E-3</v>
      </c>
      <c r="J39" s="3">
        <v>1</v>
      </c>
      <c r="K39" s="41">
        <v>0.26600000000000001</v>
      </c>
      <c r="L39" s="41">
        <v>5.5860000000000007E-3</v>
      </c>
      <c r="M39" s="165">
        <f t="shared" si="0"/>
        <v>6.9567906034036106E-2</v>
      </c>
      <c r="N39" s="3" t="s">
        <v>122</v>
      </c>
      <c r="O39" s="3" t="s">
        <v>140</v>
      </c>
      <c r="P39" s="42">
        <v>78.039299999999997</v>
      </c>
      <c r="Q39" s="42">
        <v>0.87468199999999996</v>
      </c>
      <c r="R39" s="42">
        <v>11.742699999999999</v>
      </c>
      <c r="S39" s="42" t="s">
        <v>107</v>
      </c>
      <c r="T39" s="42">
        <v>0.60568999999999995</v>
      </c>
      <c r="U39" s="42" t="s">
        <v>109</v>
      </c>
      <c r="V39" s="42" t="s">
        <v>108</v>
      </c>
      <c r="W39" s="42">
        <v>0.46967300000000001</v>
      </c>
      <c r="X39" s="42">
        <v>1.7038599999999999</v>
      </c>
      <c r="Y39" s="42">
        <v>7.6025999999999998</v>
      </c>
      <c r="Z39" s="42">
        <v>101.038505</v>
      </c>
      <c r="AA39" s="41">
        <v>0.26600000000000001</v>
      </c>
      <c r="AB39" s="41">
        <v>5.5860000000000007E-3</v>
      </c>
    </row>
    <row r="40" spans="1:28" x14ac:dyDescent="0.2">
      <c r="A40" s="43" t="s">
        <v>29</v>
      </c>
      <c r="B40" s="3"/>
      <c r="C40" s="3">
        <v>4310</v>
      </c>
      <c r="D40" s="30">
        <v>15</v>
      </c>
      <c r="E40" s="3">
        <v>2</v>
      </c>
      <c r="F40" s="42">
        <v>10.825461857956359</v>
      </c>
      <c r="G40" s="42">
        <v>1.3361990171428642</v>
      </c>
      <c r="H40" s="41">
        <v>1.8505063005053606E-2</v>
      </c>
      <c r="I40" s="41">
        <v>1.8505063005053606E-3</v>
      </c>
      <c r="J40" s="3">
        <v>2</v>
      </c>
      <c r="K40" s="41">
        <v>0.251</v>
      </c>
      <c r="L40" s="41">
        <v>5.2710000000000005E-3</v>
      </c>
      <c r="M40" s="165">
        <f t="shared" si="0"/>
        <v>7.3725350617743449E-2</v>
      </c>
      <c r="N40" s="3" t="s">
        <v>123</v>
      </c>
      <c r="O40" s="3" t="s">
        <v>140</v>
      </c>
      <c r="P40" s="42">
        <v>78.590999999999994</v>
      </c>
      <c r="Q40" s="42">
        <v>0.88239800000000002</v>
      </c>
      <c r="R40" s="42">
        <v>10.829800000000001</v>
      </c>
      <c r="S40" s="42" t="s">
        <v>107</v>
      </c>
      <c r="T40" s="42">
        <v>0.65519099999999997</v>
      </c>
      <c r="U40" s="42" t="s">
        <v>109</v>
      </c>
      <c r="V40" s="42" t="s">
        <v>108</v>
      </c>
      <c r="W40" s="42">
        <v>0.40810200000000002</v>
      </c>
      <c r="X40" s="42">
        <v>1.49465</v>
      </c>
      <c r="Y40" s="42">
        <v>7.0866400000000001</v>
      </c>
      <c r="Z40" s="42">
        <v>99.947781000000006</v>
      </c>
      <c r="AA40" s="41">
        <v>0.251</v>
      </c>
      <c r="AB40" s="41">
        <v>5.2710000000000005E-3</v>
      </c>
    </row>
    <row r="41" spans="1:28" x14ac:dyDescent="0.2">
      <c r="A41" s="43" t="s">
        <v>29</v>
      </c>
      <c r="B41" s="3"/>
      <c r="C41" s="3">
        <v>4310</v>
      </c>
      <c r="D41" s="30">
        <v>15</v>
      </c>
      <c r="E41" s="3">
        <v>2</v>
      </c>
      <c r="F41" s="42">
        <v>10.825461857956359</v>
      </c>
      <c r="G41" s="42">
        <v>1.3361990171428642</v>
      </c>
      <c r="H41" s="41">
        <v>1.8505063005053606E-2</v>
      </c>
      <c r="I41" s="41">
        <v>1.8505063005053606E-3</v>
      </c>
      <c r="J41" s="3">
        <v>3</v>
      </c>
      <c r="K41" s="41">
        <v>0.27700000000000002</v>
      </c>
      <c r="L41" s="41">
        <v>5.817000000000001E-3</v>
      </c>
      <c r="M41" s="165">
        <f t="shared" si="0"/>
        <v>6.6805281606691705E-2</v>
      </c>
      <c r="N41" s="3" t="s">
        <v>130</v>
      </c>
      <c r="O41" s="3" t="s">
        <v>140</v>
      </c>
      <c r="P41" s="42">
        <v>75.564499999999995</v>
      </c>
      <c r="Q41" s="42">
        <v>0.77148099999999997</v>
      </c>
      <c r="R41" s="42">
        <v>12.336600000000001</v>
      </c>
      <c r="S41" s="42" t="s">
        <v>107</v>
      </c>
      <c r="T41" s="42">
        <v>0.56813800000000003</v>
      </c>
      <c r="U41" s="42" t="s">
        <v>109</v>
      </c>
      <c r="V41" s="42" t="s">
        <v>108</v>
      </c>
      <c r="W41" s="42">
        <v>0.43011899999999997</v>
      </c>
      <c r="X41" s="42">
        <v>1.92404</v>
      </c>
      <c r="Y41" s="42">
        <v>7.3925700000000001</v>
      </c>
      <c r="Z41" s="42">
        <v>98.987448000000015</v>
      </c>
      <c r="AA41" s="41">
        <v>0.27700000000000002</v>
      </c>
      <c r="AB41" s="41">
        <v>5.817000000000001E-3</v>
      </c>
    </row>
    <row r="42" spans="1:28" x14ac:dyDescent="0.2">
      <c r="A42" s="43" t="s">
        <v>29</v>
      </c>
      <c r="B42" s="3"/>
      <c r="C42" s="3">
        <v>4312</v>
      </c>
      <c r="D42" s="30">
        <v>5.7</v>
      </c>
      <c r="E42" s="3">
        <v>1</v>
      </c>
      <c r="F42" s="42">
        <v>14.802232704993516</v>
      </c>
      <c r="G42" s="42">
        <v>1.8717928860193676</v>
      </c>
      <c r="H42" s="41">
        <v>2.5302961888877804E-2</v>
      </c>
      <c r="I42" s="41">
        <v>2.5302961888877804E-3</v>
      </c>
      <c r="J42" s="3">
        <v>4</v>
      </c>
      <c r="K42" s="41">
        <v>0.249</v>
      </c>
      <c r="L42" s="41">
        <v>5.2290000000000001E-3</v>
      </c>
      <c r="M42" s="165">
        <f t="shared" si="0"/>
        <v>0.10161832083886668</v>
      </c>
      <c r="N42" s="3" t="s">
        <v>124</v>
      </c>
      <c r="O42" s="90" t="s">
        <v>140</v>
      </c>
      <c r="P42" s="42">
        <v>78.700800000000001</v>
      </c>
      <c r="Q42" s="42">
        <v>0.88930200000000004</v>
      </c>
      <c r="R42" s="42">
        <v>10.996600000000001</v>
      </c>
      <c r="S42" s="42" t="s">
        <v>107</v>
      </c>
      <c r="T42" s="42">
        <v>0.43440400000000001</v>
      </c>
      <c r="U42" s="42" t="s">
        <v>109</v>
      </c>
      <c r="V42" s="42" t="s">
        <v>108</v>
      </c>
      <c r="W42" s="42">
        <v>0.35571199999999997</v>
      </c>
      <c r="X42" s="42">
        <v>1.45983</v>
      </c>
      <c r="Y42" s="42">
        <v>7.1642299999999999</v>
      </c>
      <c r="Z42" s="42">
        <v>100.000878</v>
      </c>
      <c r="AA42" s="41">
        <v>0.249</v>
      </c>
      <c r="AB42" s="41">
        <v>5.2290000000000001E-3</v>
      </c>
    </row>
    <row r="43" spans="1:28" x14ac:dyDescent="0.2">
      <c r="A43" s="43" t="s">
        <v>29</v>
      </c>
      <c r="B43" s="3"/>
      <c r="C43" s="3">
        <v>4312</v>
      </c>
      <c r="D43" s="30">
        <v>5.7</v>
      </c>
      <c r="E43" s="3">
        <v>1</v>
      </c>
      <c r="F43" s="42">
        <v>14.802232704993516</v>
      </c>
      <c r="G43" s="42">
        <v>1.8717928860193676</v>
      </c>
      <c r="H43" s="41">
        <v>2.5302961888877804E-2</v>
      </c>
      <c r="I43" s="41">
        <v>2.5302961888877804E-3</v>
      </c>
      <c r="J43" s="3">
        <v>5</v>
      </c>
      <c r="K43" s="41">
        <v>0.26100000000000001</v>
      </c>
      <c r="L43" s="41">
        <v>5.4810000000000006E-3</v>
      </c>
      <c r="M43" s="165">
        <f t="shared" si="0"/>
        <v>9.6946214133631428E-2</v>
      </c>
      <c r="N43" s="3" t="s">
        <v>135</v>
      </c>
      <c r="O43" s="90" t="s">
        <v>140</v>
      </c>
      <c r="P43" s="42">
        <v>75.202200000000005</v>
      </c>
      <c r="Q43" s="42">
        <v>0.81311999999999995</v>
      </c>
      <c r="R43" s="42">
        <v>11.297000000000001</v>
      </c>
      <c r="S43" s="42" t="s">
        <v>107</v>
      </c>
      <c r="T43" s="42">
        <v>0.521899</v>
      </c>
      <c r="U43" s="42" t="s">
        <v>109</v>
      </c>
      <c r="V43" s="42" t="s">
        <v>108</v>
      </c>
      <c r="W43" s="42">
        <v>0.44517800000000002</v>
      </c>
      <c r="X43" s="42">
        <v>1.5204200000000001</v>
      </c>
      <c r="Y43" s="42">
        <v>7.1223299999999998</v>
      </c>
      <c r="Z43" s="42">
        <v>96.92214700000001</v>
      </c>
      <c r="AA43" s="41">
        <v>0.26100000000000001</v>
      </c>
      <c r="AB43" s="41">
        <v>5.4810000000000006E-3</v>
      </c>
    </row>
    <row r="44" spans="1:28" s="2" customFormat="1" x14ac:dyDescent="0.2">
      <c r="A44" s="49" t="s">
        <v>40</v>
      </c>
      <c r="B44" s="5" t="s">
        <v>80</v>
      </c>
      <c r="C44" s="5">
        <v>4206</v>
      </c>
      <c r="D44" s="50">
        <v>6</v>
      </c>
      <c r="E44" s="5">
        <v>1</v>
      </c>
      <c r="F44" s="51">
        <v>18.293145896370913</v>
      </c>
      <c r="G44" s="51">
        <v>2.3333014447883715</v>
      </c>
      <c r="H44" s="52">
        <v>3.1270334865591304E-2</v>
      </c>
      <c r="I44" s="52">
        <v>3.1270334865591302E-3</v>
      </c>
      <c r="J44" s="5">
        <v>1</v>
      </c>
      <c r="K44" s="52">
        <v>0.26700000000000002</v>
      </c>
      <c r="L44" s="52">
        <v>5.6070000000000009E-3</v>
      </c>
      <c r="M44" s="166">
        <f t="shared" si="0"/>
        <v>0.11711735904715843</v>
      </c>
      <c r="N44" s="5" t="s">
        <v>123</v>
      </c>
      <c r="O44" s="5" t="s">
        <v>139</v>
      </c>
      <c r="P44" s="51">
        <v>74.842799999999997</v>
      </c>
      <c r="Q44" s="51">
        <v>0.72556699999999996</v>
      </c>
      <c r="R44" s="51">
        <v>11.3002</v>
      </c>
      <c r="S44" s="51" t="s">
        <v>107</v>
      </c>
      <c r="T44" s="51">
        <v>0.34979900000000003</v>
      </c>
      <c r="U44" s="51">
        <v>6.8254999999999996E-2</v>
      </c>
      <c r="V44" s="51">
        <v>4.2962E-2</v>
      </c>
      <c r="W44" s="51">
        <v>0.62908399999999998</v>
      </c>
      <c r="X44" s="51">
        <v>0.41237000000000001</v>
      </c>
      <c r="Y44" s="51">
        <v>7.3822999999999999</v>
      </c>
      <c r="Z44" s="51">
        <v>95.753337000000002</v>
      </c>
      <c r="AA44" s="52">
        <v>0.26700000000000002</v>
      </c>
      <c r="AB44" s="52">
        <v>5.6070000000000009E-3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59F5-E681-8941-81C4-814AC639D2F1}">
  <dimension ref="A1:L12"/>
  <sheetViews>
    <sheetView workbookViewId="0"/>
  </sheetViews>
  <sheetFormatPr baseColWidth="10" defaultColWidth="10.83203125" defaultRowHeight="16" x14ac:dyDescent="0.2"/>
  <cols>
    <col min="1" max="1" width="14.33203125" style="3" customWidth="1"/>
    <col min="2" max="2" width="27.33203125" style="3" customWidth="1"/>
    <col min="3" max="10" width="10.83203125" style="3"/>
    <col min="11" max="11" width="11.1640625" style="3" customWidth="1"/>
    <col min="12" max="12" width="14.1640625" style="3" customWidth="1"/>
    <col min="13" max="16384" width="10.83203125" style="1"/>
  </cols>
  <sheetData>
    <row r="1" spans="1:12" s="26" customFormat="1" ht="19" customHeight="1" x14ac:dyDescent="0.2">
      <c r="A1" s="85" t="s">
        <v>241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s="47" customFormat="1" ht="7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s="40" customFormat="1" ht="18" x14ac:dyDescent="0.25">
      <c r="A3" s="40" t="s">
        <v>7</v>
      </c>
      <c r="B3" s="40" t="s">
        <v>141</v>
      </c>
      <c r="C3" s="40" t="s">
        <v>100</v>
      </c>
      <c r="D3" s="40" t="s">
        <v>101</v>
      </c>
      <c r="E3" s="91" t="s">
        <v>142</v>
      </c>
      <c r="F3" s="40" t="s">
        <v>94</v>
      </c>
      <c r="G3" s="40" t="s">
        <v>96</v>
      </c>
      <c r="H3" s="40" t="s">
        <v>97</v>
      </c>
      <c r="I3" s="40" t="s">
        <v>104</v>
      </c>
      <c r="J3" s="40" t="s">
        <v>105</v>
      </c>
      <c r="K3" s="40" t="s">
        <v>143</v>
      </c>
      <c r="L3" s="40" t="s">
        <v>232</v>
      </c>
    </row>
    <row r="4" spans="1:12" s="2" customFormat="1" x14ac:dyDescent="0.2">
      <c r="A4" s="5"/>
      <c r="B4" s="5"/>
      <c r="C4" s="5"/>
      <c r="D4" s="5"/>
      <c r="E4" s="5"/>
      <c r="F4" s="5"/>
      <c r="G4" s="5"/>
      <c r="I4" s="5"/>
      <c r="J4" s="5"/>
      <c r="K4" s="5"/>
      <c r="L4" s="7"/>
    </row>
    <row r="5" spans="1:12" s="47" customFormat="1" x14ac:dyDescent="0.2">
      <c r="A5" s="4">
        <v>15386</v>
      </c>
      <c r="B5" s="4" t="s">
        <v>149</v>
      </c>
      <c r="C5" s="4">
        <v>50.8</v>
      </c>
      <c r="D5" s="4">
        <v>2.2000000000000002</v>
      </c>
      <c r="E5" s="4">
        <v>14.6</v>
      </c>
      <c r="F5" s="4">
        <v>11.4</v>
      </c>
      <c r="G5" s="4">
        <v>8.1</v>
      </c>
      <c r="H5" s="4">
        <v>9.6999999999999993</v>
      </c>
      <c r="I5" s="4">
        <v>1.1000000000000001</v>
      </c>
      <c r="J5" s="4">
        <v>0.7</v>
      </c>
      <c r="K5" s="4">
        <v>0.9</v>
      </c>
      <c r="L5" s="4">
        <v>0.45</v>
      </c>
    </row>
    <row r="6" spans="1:12" x14ac:dyDescent="0.2">
      <c r="A6" s="3" t="s">
        <v>144</v>
      </c>
      <c r="B6" s="3" t="s">
        <v>150</v>
      </c>
      <c r="C6" s="3">
        <v>76.400000000000006</v>
      </c>
      <c r="D6" s="3">
        <v>0.7</v>
      </c>
      <c r="E6" s="3">
        <v>12.2</v>
      </c>
      <c r="F6" s="3">
        <v>1.8</v>
      </c>
      <c r="G6" s="3">
        <v>0.5</v>
      </c>
      <c r="H6" s="3">
        <v>1.1000000000000001</v>
      </c>
      <c r="I6" s="3">
        <v>0.5</v>
      </c>
      <c r="J6" s="3">
        <v>6.1</v>
      </c>
      <c r="K6" s="3">
        <v>0.01</v>
      </c>
      <c r="L6" s="3">
        <v>0.27</v>
      </c>
    </row>
    <row r="7" spans="1:12" x14ac:dyDescent="0.2">
      <c r="A7" s="92">
        <v>141417069</v>
      </c>
      <c r="B7" s="3" t="s">
        <v>151</v>
      </c>
      <c r="C7" s="3">
        <v>53.9</v>
      </c>
      <c r="D7" s="3">
        <v>2.4</v>
      </c>
      <c r="E7" s="3">
        <v>12.6</v>
      </c>
      <c r="F7" s="3">
        <v>13.4</v>
      </c>
      <c r="G7" s="3">
        <v>2.8</v>
      </c>
      <c r="H7" s="3">
        <v>8.9</v>
      </c>
      <c r="I7" s="3">
        <v>1.4</v>
      </c>
      <c r="J7" s="3">
        <v>1.6</v>
      </c>
      <c r="K7" s="3">
        <v>1.8</v>
      </c>
      <c r="L7" s="3">
        <v>0.39</v>
      </c>
    </row>
    <row r="8" spans="1:12" x14ac:dyDescent="0.2">
      <c r="A8" s="3" t="s">
        <v>145</v>
      </c>
      <c r="B8" s="3" t="s">
        <v>152</v>
      </c>
      <c r="C8" s="3">
        <v>51.5</v>
      </c>
      <c r="D8" s="3">
        <v>0.5</v>
      </c>
      <c r="E8" s="3">
        <v>23.1</v>
      </c>
      <c r="F8" s="3">
        <v>4.8</v>
      </c>
      <c r="G8" s="3">
        <v>6.4</v>
      </c>
      <c r="H8" s="3">
        <v>12.1</v>
      </c>
      <c r="I8" s="3">
        <v>0.3</v>
      </c>
      <c r="J8" s="3">
        <v>1.2</v>
      </c>
      <c r="K8" s="94" t="s">
        <v>92</v>
      </c>
      <c r="L8" s="3">
        <v>0.55000000000000004</v>
      </c>
    </row>
    <row r="9" spans="1:12" s="2" customFormat="1" x14ac:dyDescent="0.2">
      <c r="A9" s="5" t="s">
        <v>146</v>
      </c>
      <c r="B9" s="5" t="s">
        <v>153</v>
      </c>
      <c r="C9" s="5">
        <v>63.7</v>
      </c>
      <c r="D9" s="5">
        <v>0.6</v>
      </c>
      <c r="E9" s="5">
        <v>16.100000000000001</v>
      </c>
      <c r="F9" s="5">
        <v>2.8</v>
      </c>
      <c r="G9" s="5">
        <v>3.5</v>
      </c>
      <c r="H9" s="5">
        <v>4.3</v>
      </c>
      <c r="I9" s="5">
        <v>1.5</v>
      </c>
      <c r="J9" s="5">
        <v>5.8</v>
      </c>
      <c r="K9" s="5">
        <v>0.34</v>
      </c>
      <c r="L9" s="5">
        <v>0.37</v>
      </c>
    </row>
    <row r="11" spans="1:12" x14ac:dyDescent="0.2">
      <c r="A11" s="93" t="s">
        <v>147</v>
      </c>
    </row>
    <row r="12" spans="1:12" x14ac:dyDescent="0.2">
      <c r="A12" s="93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C775-CDF8-D643-870A-1E5814343884}">
  <dimension ref="A1:L31"/>
  <sheetViews>
    <sheetView workbookViewId="0">
      <selection activeCell="D27" sqref="D27"/>
    </sheetView>
  </sheetViews>
  <sheetFormatPr baseColWidth="10" defaultColWidth="10.83203125" defaultRowHeight="16" x14ac:dyDescent="0.2"/>
  <sheetData>
    <row r="1" spans="1:12" s="26" customFormat="1" ht="19" customHeight="1" x14ac:dyDescent="0.2">
      <c r="A1" s="142" t="s">
        <v>242</v>
      </c>
      <c r="B1" s="145"/>
      <c r="C1" s="145"/>
      <c r="D1" s="145"/>
      <c r="E1" s="145"/>
      <c r="F1" s="145"/>
      <c r="G1" s="73"/>
      <c r="H1" s="73"/>
      <c r="I1" s="73"/>
      <c r="J1" s="73"/>
      <c r="K1" s="73"/>
      <c r="L1" s="73"/>
    </row>
    <row r="2" spans="1:12" s="96" customFormat="1" x14ac:dyDescent="0.2">
      <c r="A2" s="145" t="s">
        <v>233</v>
      </c>
      <c r="B2" s="145" t="s">
        <v>154</v>
      </c>
      <c r="C2" s="145" t="s">
        <v>155</v>
      </c>
      <c r="D2" s="145" t="s">
        <v>146</v>
      </c>
      <c r="E2" s="145" t="s">
        <v>155</v>
      </c>
      <c r="F2" s="146" t="s">
        <v>225</v>
      </c>
      <c r="G2" s="144"/>
      <c r="H2" s="144"/>
    </row>
    <row r="3" spans="1:12" x14ac:dyDescent="0.2">
      <c r="A3" s="147"/>
      <c r="B3" s="147"/>
      <c r="C3" s="147"/>
      <c r="D3" s="147"/>
      <c r="E3" s="147"/>
      <c r="F3" s="148"/>
      <c r="G3" s="1"/>
      <c r="H3" s="1"/>
    </row>
    <row r="4" spans="1:12" x14ac:dyDescent="0.2">
      <c r="A4" s="147">
        <v>1100</v>
      </c>
      <c r="B4" s="147">
        <v>1018</v>
      </c>
      <c r="C4" s="147">
        <v>318</v>
      </c>
      <c r="D4" s="147">
        <v>129</v>
      </c>
      <c r="E4" s="147">
        <v>147</v>
      </c>
      <c r="F4" s="148"/>
      <c r="G4" s="1"/>
      <c r="H4" s="1"/>
    </row>
    <row r="5" spans="1:12" x14ac:dyDescent="0.2">
      <c r="A5" s="147">
        <v>1100</v>
      </c>
      <c r="B5" s="147">
        <v>742</v>
      </c>
      <c r="C5" s="147">
        <v>43</v>
      </c>
      <c r="D5" s="147" t="s">
        <v>226</v>
      </c>
      <c r="E5" s="147" t="s">
        <v>226</v>
      </c>
      <c r="F5" s="148"/>
      <c r="G5" s="1"/>
      <c r="H5" s="1"/>
    </row>
    <row r="6" spans="1:12" x14ac:dyDescent="0.2">
      <c r="A6" s="147"/>
      <c r="B6" s="147"/>
      <c r="C6" s="147"/>
      <c r="D6" s="147"/>
      <c r="E6" s="147"/>
      <c r="F6" s="148"/>
      <c r="G6" s="1"/>
      <c r="H6" s="1"/>
    </row>
    <row r="7" spans="1:12" x14ac:dyDescent="0.2">
      <c r="A7" s="147">
        <v>1130</v>
      </c>
      <c r="B7" s="147">
        <v>1377</v>
      </c>
      <c r="C7" s="147">
        <v>477</v>
      </c>
      <c r="D7" s="147">
        <v>-369</v>
      </c>
      <c r="E7" s="147">
        <v>192</v>
      </c>
      <c r="F7" s="148"/>
      <c r="G7" s="1"/>
      <c r="H7" s="1"/>
    </row>
    <row r="8" spans="1:12" x14ac:dyDescent="0.2">
      <c r="A8" s="147">
        <v>1130</v>
      </c>
      <c r="B8" s="147">
        <v>287</v>
      </c>
      <c r="C8" s="147">
        <v>76</v>
      </c>
      <c r="D8" s="147" t="s">
        <v>226</v>
      </c>
      <c r="E8" s="147" t="s">
        <v>226</v>
      </c>
      <c r="F8" s="148"/>
      <c r="G8" s="1"/>
      <c r="H8" s="1"/>
    </row>
    <row r="9" spans="1:12" x14ac:dyDescent="0.2">
      <c r="A9" s="147"/>
      <c r="B9" s="147"/>
      <c r="C9" s="147"/>
      <c r="D9" s="147"/>
      <c r="E9" s="147"/>
      <c r="F9" s="148"/>
      <c r="G9" s="1"/>
      <c r="H9" s="1"/>
    </row>
    <row r="10" spans="1:12" x14ac:dyDescent="0.2">
      <c r="A10" s="147"/>
      <c r="B10" s="147"/>
      <c r="C10" s="147"/>
      <c r="D10" s="147"/>
      <c r="E10" s="147"/>
      <c r="F10" s="148"/>
      <c r="G10" s="1"/>
      <c r="H10" s="1"/>
    </row>
    <row r="11" spans="1:12" x14ac:dyDescent="0.2">
      <c r="A11" s="147">
        <v>1200</v>
      </c>
      <c r="B11" s="147">
        <v>1108</v>
      </c>
      <c r="C11" s="147">
        <v>154</v>
      </c>
      <c r="D11" s="147">
        <v>-153</v>
      </c>
      <c r="E11" s="147">
        <v>70</v>
      </c>
      <c r="F11" s="148" t="s">
        <v>227</v>
      </c>
      <c r="G11" s="1"/>
      <c r="H11" s="1"/>
    </row>
    <row r="12" spans="1:12" x14ac:dyDescent="0.2">
      <c r="A12" s="147">
        <v>1200</v>
      </c>
      <c r="B12" s="147">
        <v>779</v>
      </c>
      <c r="C12" s="147">
        <v>46</v>
      </c>
      <c r="D12" s="147" t="s">
        <v>226</v>
      </c>
      <c r="E12" s="147" t="s">
        <v>226</v>
      </c>
      <c r="F12" s="148" t="s">
        <v>227</v>
      </c>
      <c r="G12" s="1"/>
      <c r="H12" s="1"/>
    </row>
    <row r="13" spans="1:12" x14ac:dyDescent="0.2">
      <c r="A13" s="147"/>
      <c r="B13" s="147"/>
      <c r="C13" s="147"/>
      <c r="D13" s="147"/>
      <c r="E13" s="147"/>
      <c r="F13" s="148"/>
      <c r="G13" s="1"/>
      <c r="H13" s="1"/>
    </row>
    <row r="14" spans="1:12" x14ac:dyDescent="0.2">
      <c r="A14" s="149" t="s">
        <v>228</v>
      </c>
      <c r="B14" s="147"/>
      <c r="C14" s="147"/>
      <c r="D14" s="147"/>
      <c r="E14" s="147"/>
      <c r="F14" s="148"/>
      <c r="G14" s="1"/>
      <c r="H14" s="1"/>
    </row>
    <row r="15" spans="1:12" x14ac:dyDescent="0.2">
      <c r="A15" s="147" t="s">
        <v>157</v>
      </c>
      <c r="B15" s="147">
        <v>1417</v>
      </c>
      <c r="C15" s="147">
        <v>207</v>
      </c>
      <c r="D15" s="147">
        <v>-362</v>
      </c>
      <c r="E15" s="147">
        <v>89</v>
      </c>
      <c r="F15" s="148"/>
      <c r="G15" s="1"/>
      <c r="H15" s="1"/>
    </row>
    <row r="16" spans="1:12" x14ac:dyDescent="0.2">
      <c r="A16" s="147" t="s">
        <v>156</v>
      </c>
      <c r="B16" s="147">
        <v>588</v>
      </c>
      <c r="C16" s="147">
        <v>37</v>
      </c>
      <c r="D16" s="147" t="s">
        <v>226</v>
      </c>
      <c r="E16" s="150" t="s">
        <v>226</v>
      </c>
      <c r="F16" s="148"/>
      <c r="G16" s="1"/>
      <c r="H16" s="1"/>
    </row>
    <row r="17" spans="1:8" x14ac:dyDescent="0.2">
      <c r="A17" s="147"/>
      <c r="B17" s="147"/>
      <c r="C17" s="147"/>
      <c r="D17" s="147"/>
      <c r="E17" s="150"/>
      <c r="F17" s="148"/>
      <c r="G17" s="1"/>
      <c r="H17" s="1"/>
    </row>
    <row r="18" spans="1:8" x14ac:dyDescent="0.2">
      <c r="A18" s="149" t="s">
        <v>229</v>
      </c>
      <c r="B18" s="147"/>
      <c r="C18" s="147"/>
      <c r="D18" s="148"/>
      <c r="E18" s="148"/>
      <c r="F18" s="148"/>
      <c r="G18" s="1"/>
      <c r="H18" s="1"/>
    </row>
    <row r="19" spans="1:8" x14ac:dyDescent="0.2">
      <c r="A19" s="147" t="s">
        <v>157</v>
      </c>
      <c r="B19" s="147">
        <v>1376</v>
      </c>
      <c r="C19" s="147">
        <v>328</v>
      </c>
      <c r="D19" s="148">
        <v>-236</v>
      </c>
      <c r="E19" s="148">
        <v>147</v>
      </c>
      <c r="F19" s="148"/>
      <c r="G19" s="1"/>
      <c r="H19" s="1"/>
    </row>
    <row r="20" spans="1:8" x14ac:dyDescent="0.2">
      <c r="A20" s="147" t="s">
        <v>156</v>
      </c>
      <c r="B20" s="147">
        <v>858</v>
      </c>
      <c r="C20" s="147">
        <v>58</v>
      </c>
      <c r="D20" s="147" t="s">
        <v>226</v>
      </c>
      <c r="E20" s="150" t="s">
        <v>226</v>
      </c>
      <c r="F20" s="148"/>
      <c r="G20" s="1"/>
      <c r="H20" s="1"/>
    </row>
    <row r="21" spans="1:8" x14ac:dyDescent="0.2">
      <c r="A21" s="151"/>
      <c r="B21" s="152" t="s">
        <v>230</v>
      </c>
      <c r="C21" s="151"/>
      <c r="D21" s="151"/>
      <c r="E21" s="151"/>
      <c r="F21" s="148"/>
      <c r="G21" s="1"/>
      <c r="H21" s="1"/>
    </row>
    <row r="22" spans="1:8" x14ac:dyDescent="0.2">
      <c r="A22" s="148" t="s">
        <v>206</v>
      </c>
      <c r="B22" s="148"/>
      <c r="C22" s="148"/>
      <c r="D22" s="148"/>
      <c r="E22" s="148"/>
      <c r="F22" s="148"/>
      <c r="G22" s="1"/>
      <c r="H22" s="1"/>
    </row>
    <row r="23" spans="1:8" x14ac:dyDescent="0.2">
      <c r="A23" s="148" t="s">
        <v>231</v>
      </c>
      <c r="B23" s="148"/>
      <c r="C23" s="148"/>
      <c r="D23" s="148"/>
      <c r="E23" s="148"/>
      <c r="F23" s="148"/>
      <c r="G23" s="1"/>
      <c r="H23" s="1"/>
    </row>
    <row r="24" spans="1:8" x14ac:dyDescent="0.2">
      <c r="A24" s="141"/>
      <c r="B24" s="141"/>
      <c r="C24" s="141"/>
      <c r="D24" s="141"/>
      <c r="E24" s="141"/>
      <c r="F24" s="141"/>
      <c r="G24" s="141"/>
    </row>
    <row r="25" spans="1:8" x14ac:dyDescent="0.2">
      <c r="A25" s="141"/>
      <c r="B25" s="141"/>
      <c r="C25" s="141"/>
      <c r="D25" s="141"/>
      <c r="E25" s="141"/>
      <c r="F25" s="141"/>
      <c r="G25" s="141"/>
    </row>
    <row r="26" spans="1:8" x14ac:dyDescent="0.2">
      <c r="A26" s="141"/>
      <c r="B26" s="141"/>
      <c r="C26" s="141"/>
      <c r="D26" s="141"/>
      <c r="E26" s="141"/>
      <c r="F26" s="141"/>
      <c r="G26" s="141"/>
    </row>
    <row r="27" spans="1:8" x14ac:dyDescent="0.2">
      <c r="A27" s="141"/>
      <c r="B27" s="141"/>
      <c r="C27" s="141"/>
      <c r="D27" s="141"/>
      <c r="E27" s="141"/>
      <c r="F27" s="141"/>
      <c r="G27" s="141"/>
    </row>
    <row r="28" spans="1:8" x14ac:dyDescent="0.2">
      <c r="A28" s="141"/>
      <c r="B28" s="141"/>
      <c r="C28" s="141"/>
      <c r="D28" s="141"/>
      <c r="E28" s="141"/>
      <c r="F28" s="141"/>
      <c r="G28" s="141"/>
    </row>
    <row r="29" spans="1:8" x14ac:dyDescent="0.2">
      <c r="A29" s="141"/>
      <c r="B29" s="141"/>
      <c r="C29" s="141"/>
      <c r="D29" s="141"/>
      <c r="E29" s="141"/>
      <c r="F29" s="141"/>
      <c r="G29" s="141"/>
    </row>
    <row r="30" spans="1:8" x14ac:dyDescent="0.2">
      <c r="A30" s="141"/>
      <c r="B30" s="141"/>
      <c r="C30" s="141"/>
      <c r="D30" s="141"/>
      <c r="E30" s="141"/>
      <c r="F30" s="141"/>
      <c r="G30" s="141"/>
    </row>
    <row r="31" spans="1:8" x14ac:dyDescent="0.2">
      <c r="A31" s="141"/>
      <c r="B31" s="141"/>
      <c r="C31" s="141"/>
      <c r="D31" s="141"/>
      <c r="E31" s="141"/>
      <c r="F31" s="141"/>
      <c r="G31" s="1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9D92-052E-A140-BA11-258F22CF4D75}">
  <dimension ref="A1:AH42"/>
  <sheetViews>
    <sheetView topLeftCell="AA18" zoomScale="117" zoomScaleNormal="91" workbookViewId="0">
      <selection sqref="A1:AH42"/>
    </sheetView>
  </sheetViews>
  <sheetFormatPr baseColWidth="10" defaultColWidth="8.33203125" defaultRowHeight="16" x14ac:dyDescent="0.2"/>
  <cols>
    <col min="1" max="1" width="15.6640625" style="104" customWidth="1"/>
    <col min="2" max="3" width="13.6640625" style="104" customWidth="1"/>
    <col min="4" max="4" width="11.33203125" style="104" customWidth="1"/>
    <col min="5" max="5" width="15.33203125" style="104" customWidth="1"/>
    <col min="6" max="33" width="10.83203125" style="104" customWidth="1"/>
    <col min="34" max="34" width="10.83203125" customWidth="1"/>
    <col min="35" max="16384" width="8.33203125" style="104"/>
  </cols>
  <sheetData>
    <row r="1" spans="1:34" x14ac:dyDescent="0.2">
      <c r="A1" s="103" t="s">
        <v>243</v>
      </c>
    </row>
    <row r="2" spans="1:34" s="169" customFormat="1" ht="38" x14ac:dyDescent="0.25">
      <c r="A2" s="167" t="s">
        <v>158</v>
      </c>
      <c r="B2" s="168" t="s">
        <v>236</v>
      </c>
      <c r="C2" s="168" t="s">
        <v>205</v>
      </c>
      <c r="D2" s="169" t="s">
        <v>159</v>
      </c>
      <c r="E2" s="170" t="s">
        <v>160</v>
      </c>
      <c r="F2" s="170" t="s">
        <v>247</v>
      </c>
      <c r="G2" s="171" t="s">
        <v>248</v>
      </c>
      <c r="H2" s="172" t="s">
        <v>249</v>
      </c>
      <c r="I2" s="173" t="s">
        <v>250</v>
      </c>
      <c r="J2" s="173" t="s">
        <v>251</v>
      </c>
      <c r="K2" s="173" t="s">
        <v>252</v>
      </c>
      <c r="L2" s="172" t="s">
        <v>94</v>
      </c>
      <c r="M2" s="173" t="s">
        <v>253</v>
      </c>
      <c r="N2" s="172" t="s">
        <v>96</v>
      </c>
      <c r="O2" s="173" t="s">
        <v>254</v>
      </c>
      <c r="P2" s="172" t="s">
        <v>97</v>
      </c>
      <c r="Q2" s="173" t="s">
        <v>255</v>
      </c>
      <c r="R2" s="172" t="s">
        <v>256</v>
      </c>
      <c r="S2" s="173" t="s">
        <v>257</v>
      </c>
      <c r="T2" s="172" t="s">
        <v>258</v>
      </c>
      <c r="U2" s="173" t="s">
        <v>259</v>
      </c>
      <c r="V2" s="173" t="s">
        <v>260</v>
      </c>
      <c r="W2" s="168" t="s">
        <v>163</v>
      </c>
      <c r="X2" s="173" t="s">
        <v>261</v>
      </c>
      <c r="Y2" s="168" t="s">
        <v>95</v>
      </c>
      <c r="Z2" s="173" t="s">
        <v>262</v>
      </c>
      <c r="AA2" s="168" t="s">
        <v>164</v>
      </c>
      <c r="AB2" s="173" t="s">
        <v>263</v>
      </c>
      <c r="AC2" s="168" t="s">
        <v>264</v>
      </c>
      <c r="AD2" s="154" t="s">
        <v>232</v>
      </c>
      <c r="AE2" s="170" t="s">
        <v>265</v>
      </c>
      <c r="AF2" s="169" t="s">
        <v>266</v>
      </c>
      <c r="AG2" s="163" t="s">
        <v>267</v>
      </c>
      <c r="AH2" s="163" t="s">
        <v>235</v>
      </c>
    </row>
    <row r="3" spans="1:34" x14ac:dyDescent="0.2">
      <c r="A3" s="156" t="s">
        <v>165</v>
      </c>
      <c r="B3" s="157">
        <v>1050</v>
      </c>
      <c r="C3" s="157">
        <v>385</v>
      </c>
      <c r="D3" s="158">
        <f t="shared" ref="D3:D42" si="0">10^4/(B3+273)</f>
        <v>7.5585789871504154</v>
      </c>
      <c r="E3" s="159" t="s">
        <v>89</v>
      </c>
      <c r="F3" s="159">
        <v>39.513199999999998</v>
      </c>
      <c r="G3" s="159">
        <v>0.33987686740936046</v>
      </c>
      <c r="H3" s="159">
        <v>2.17624</v>
      </c>
      <c r="I3" s="159">
        <v>3.5990387605581625E-2</v>
      </c>
      <c r="J3" s="159">
        <v>12.91006</v>
      </c>
      <c r="K3" s="159">
        <v>0.16866795190551168</v>
      </c>
      <c r="L3" s="159">
        <v>27.836660000000002</v>
      </c>
      <c r="M3" s="159">
        <v>0.21217152966409075</v>
      </c>
      <c r="N3" s="159">
        <v>2.6044600000000004</v>
      </c>
      <c r="O3" s="159">
        <v>3.9043475767405633E-2</v>
      </c>
      <c r="P3" s="159">
        <v>9.2778200000000002</v>
      </c>
      <c r="Q3" s="159">
        <v>6.2898386306804263E-2</v>
      </c>
      <c r="R3" s="159">
        <v>1.4795400000000001</v>
      </c>
      <c r="S3" s="159">
        <v>9.858781872016438E-2</v>
      </c>
      <c r="T3" s="159">
        <v>0.71118000000000003</v>
      </c>
      <c r="U3" s="159">
        <v>2.6992906475590963E-2</v>
      </c>
      <c r="V3" s="159">
        <v>97.303260000000009</v>
      </c>
      <c r="W3" s="159">
        <v>0.58030000000000004</v>
      </c>
      <c r="X3" s="159">
        <v>5.0379410476900172E-2</v>
      </c>
      <c r="Y3" s="159">
        <v>0.21379999999999999</v>
      </c>
      <c r="Z3" s="159">
        <v>2.3377767215882698E-2</v>
      </c>
      <c r="AA3" s="159">
        <v>1.39592</v>
      </c>
      <c r="AB3" s="159">
        <v>2.9579587556286122E-2</v>
      </c>
      <c r="AC3" s="159">
        <v>98.699180000000013</v>
      </c>
      <c r="AD3" s="159">
        <v>0.54048803720104166</v>
      </c>
      <c r="AE3" s="160">
        <v>405.90909090909093</v>
      </c>
      <c r="AF3" s="160">
        <v>76.739109384269753</v>
      </c>
      <c r="AG3" s="140">
        <f t="shared" ref="AG3:AG42" si="1">AE3/585</f>
        <v>0.69386169386169394</v>
      </c>
      <c r="AH3" s="162">
        <f t="shared" ref="AH3:AH42" si="2">AG3/AD3</f>
        <v>1.2837688276227341</v>
      </c>
    </row>
    <row r="4" spans="1:34" x14ac:dyDescent="0.2">
      <c r="A4" s="156" t="s">
        <v>166</v>
      </c>
      <c r="B4" s="157">
        <v>1060</v>
      </c>
      <c r="C4" s="157">
        <v>456</v>
      </c>
      <c r="D4" s="158">
        <f t="shared" si="0"/>
        <v>7.5018754688672171</v>
      </c>
      <c r="E4" s="159" t="s">
        <v>167</v>
      </c>
      <c r="F4" s="159">
        <v>44.055099999999996</v>
      </c>
      <c r="G4" s="159">
        <v>3.3984041114911561</v>
      </c>
      <c r="H4" s="159">
        <v>1.9288399999999999</v>
      </c>
      <c r="I4" s="159">
        <v>7.7994249788045297E-2</v>
      </c>
      <c r="J4" s="159">
        <v>12.16432</v>
      </c>
      <c r="K4" s="159">
        <v>1.010138880055609</v>
      </c>
      <c r="L4" s="159">
        <v>0.62690000000000001</v>
      </c>
      <c r="M4" s="159">
        <v>0.4080171197388659</v>
      </c>
      <c r="N4" s="159">
        <v>7.1497399999999995</v>
      </c>
      <c r="O4" s="159">
        <v>1.1114640201104158</v>
      </c>
      <c r="P4" s="159">
        <v>8.3531000000000013</v>
      </c>
      <c r="Q4" s="159">
        <v>0.84448817931336373</v>
      </c>
      <c r="R4" s="159">
        <v>1.29142</v>
      </c>
      <c r="S4" s="159">
        <v>0.11197806481628442</v>
      </c>
      <c r="T4" s="159">
        <v>0.40357999999999999</v>
      </c>
      <c r="U4" s="159">
        <v>2.1291946834425438E-2</v>
      </c>
      <c r="V4" s="159">
        <v>76.519619999999989</v>
      </c>
      <c r="W4" s="159">
        <v>0.54067999999999994</v>
      </c>
      <c r="X4" s="159">
        <v>0.13335273525503732</v>
      </c>
      <c r="Y4" s="159">
        <v>5.94E-3</v>
      </c>
      <c r="Z4" s="159">
        <v>2.0294777653376742E-2</v>
      </c>
      <c r="AA4" s="159">
        <v>0.89983999999999997</v>
      </c>
      <c r="AB4" s="159">
        <v>0.1278399311639363</v>
      </c>
      <c r="AC4" s="159">
        <v>77.419459999999987</v>
      </c>
      <c r="AD4" s="159">
        <v>0.47055661733543097</v>
      </c>
      <c r="AE4" s="160">
        <v>161.72352941176473</v>
      </c>
      <c r="AF4" s="160">
        <v>18.836119870204147</v>
      </c>
      <c r="AG4" s="140">
        <f t="shared" si="1"/>
        <v>0.27645047762694824</v>
      </c>
      <c r="AH4" s="162">
        <f t="shared" si="2"/>
        <v>0.58749673778338063</v>
      </c>
    </row>
    <row r="5" spans="1:34" x14ac:dyDescent="0.2">
      <c r="A5" s="156" t="s">
        <v>168</v>
      </c>
      <c r="B5" s="157">
        <v>1060</v>
      </c>
      <c r="C5" s="157">
        <v>456</v>
      </c>
      <c r="D5" s="158">
        <f t="shared" si="0"/>
        <v>7.5018754688672171</v>
      </c>
      <c r="E5" s="159" t="s">
        <v>167</v>
      </c>
      <c r="F5" s="159">
        <v>60.334040000000002</v>
      </c>
      <c r="G5" s="159">
        <v>0.89479502010237</v>
      </c>
      <c r="H5" s="159">
        <v>0.55951999999999991</v>
      </c>
      <c r="I5" s="159">
        <v>1.8521932944485044E-2</v>
      </c>
      <c r="J5" s="159">
        <v>14.797000000000001</v>
      </c>
      <c r="K5" s="159">
        <v>0.36741714712299423</v>
      </c>
      <c r="L5" s="159">
        <v>0.45979999999999999</v>
      </c>
      <c r="M5" s="159">
        <v>0.42114272521319901</v>
      </c>
      <c r="N5" s="159">
        <v>1.9730599999999998</v>
      </c>
      <c r="O5" s="159">
        <v>0.4964863271027718</v>
      </c>
      <c r="P5" s="159">
        <v>4.2694200000000002</v>
      </c>
      <c r="Q5" s="159">
        <v>0.14897633033472138</v>
      </c>
      <c r="R5" s="159">
        <v>1.4708599999999998</v>
      </c>
      <c r="S5" s="159">
        <v>0.13355423243012551</v>
      </c>
      <c r="T5" s="159">
        <v>4.7496200000000002</v>
      </c>
      <c r="U5" s="159">
        <v>8.6988890095229809E-2</v>
      </c>
      <c r="V5" s="159">
        <v>88.834440000000015</v>
      </c>
      <c r="W5" s="159">
        <v>0.21801999999999996</v>
      </c>
      <c r="X5" s="159">
        <v>4.3002871997112148E-2</v>
      </c>
      <c r="Y5" s="159">
        <v>3.1000000000000003E-3</v>
      </c>
      <c r="Z5" s="159">
        <v>1.3804347141389919E-2</v>
      </c>
      <c r="AA5" s="159">
        <v>0.50917999999999997</v>
      </c>
      <c r="AB5" s="159">
        <v>3.3329521448709681E-2</v>
      </c>
      <c r="AC5" s="159">
        <v>89.343620000000016</v>
      </c>
      <c r="AD5" s="159">
        <v>0.37895582615689943</v>
      </c>
      <c r="AE5" s="160">
        <v>131</v>
      </c>
      <c r="AF5" s="160">
        <v>26.213864016330493</v>
      </c>
      <c r="AG5" s="140">
        <f t="shared" si="1"/>
        <v>0.22393162393162394</v>
      </c>
      <c r="AH5" s="162">
        <f t="shared" si="2"/>
        <v>0.59091748556178503</v>
      </c>
    </row>
    <row r="6" spans="1:34" x14ac:dyDescent="0.2">
      <c r="A6" s="156" t="s">
        <v>169</v>
      </c>
      <c r="B6" s="157">
        <v>1080</v>
      </c>
      <c r="C6" s="157">
        <v>414</v>
      </c>
      <c r="D6" s="158">
        <f t="shared" si="0"/>
        <v>7.390983000739098</v>
      </c>
      <c r="E6" s="159" t="s">
        <v>167</v>
      </c>
      <c r="F6" s="159">
        <v>48.827579999999998</v>
      </c>
      <c r="G6" s="159">
        <v>6.9664380168060722</v>
      </c>
      <c r="H6" s="159">
        <v>1.5485199999999999</v>
      </c>
      <c r="I6" s="159">
        <v>0.35593212414728809</v>
      </c>
      <c r="J6" s="159">
        <v>10.334479999999999</v>
      </c>
      <c r="K6" s="159">
        <v>2.3464928674513401</v>
      </c>
      <c r="L6" s="159">
        <v>0.65508</v>
      </c>
      <c r="M6" s="159">
        <v>0.1647097052392483</v>
      </c>
      <c r="N6" s="159">
        <v>6.5726200000000006</v>
      </c>
      <c r="O6" s="159">
        <v>1.5481403027503631</v>
      </c>
      <c r="P6" s="159">
        <v>7.2755600000000005</v>
      </c>
      <c r="Q6" s="159">
        <v>1.6526052865097571</v>
      </c>
      <c r="R6" s="159">
        <v>0.9198599999999999</v>
      </c>
      <c r="S6" s="159">
        <v>0.18778200925541325</v>
      </c>
      <c r="T6" s="159">
        <v>0.34331999999999996</v>
      </c>
      <c r="U6" s="159">
        <v>8.158980941269596E-2</v>
      </c>
      <c r="V6" s="159">
        <v>76.990239999999986</v>
      </c>
      <c r="W6" s="159">
        <v>0.50594000000000006</v>
      </c>
      <c r="X6" s="159">
        <v>0.10902340574390403</v>
      </c>
      <c r="Y6" s="159">
        <v>7.2799999999999991E-3</v>
      </c>
      <c r="Z6" s="159">
        <v>2.4660433897237089E-2</v>
      </c>
      <c r="AA6" s="159">
        <v>0.99157999999999991</v>
      </c>
      <c r="AB6" s="159">
        <v>0.23177899387131731</v>
      </c>
      <c r="AC6" s="159">
        <v>77.981819999999985</v>
      </c>
      <c r="AD6" s="159">
        <v>0.39133011694762704</v>
      </c>
      <c r="AE6" s="160">
        <v>158.78888888888889</v>
      </c>
      <c r="AF6" s="160">
        <v>16.662866233367868</v>
      </c>
      <c r="AG6" s="140">
        <f t="shared" si="1"/>
        <v>0.27143399810066476</v>
      </c>
      <c r="AH6" s="162">
        <f t="shared" si="2"/>
        <v>0.69361898393573329</v>
      </c>
    </row>
    <row r="7" spans="1:34" x14ac:dyDescent="0.2">
      <c r="A7" s="156" t="s">
        <v>170</v>
      </c>
      <c r="B7" s="157">
        <v>1080</v>
      </c>
      <c r="C7" s="157">
        <v>414</v>
      </c>
      <c r="D7" s="158">
        <f t="shared" si="0"/>
        <v>7.390983000739098</v>
      </c>
      <c r="E7" s="159" t="s">
        <v>167</v>
      </c>
      <c r="F7" s="159">
        <v>42.331219999999995</v>
      </c>
      <c r="G7" s="159">
        <v>0.4093145575226933</v>
      </c>
      <c r="H7" s="159">
        <v>0.41988000000000003</v>
      </c>
      <c r="I7" s="159">
        <v>9.865191331140017E-3</v>
      </c>
      <c r="J7" s="159">
        <v>7.3141000000000007</v>
      </c>
      <c r="K7" s="159">
        <v>0.18585067931003096</v>
      </c>
      <c r="L7" s="159">
        <v>39.504120000000007</v>
      </c>
      <c r="M7" s="159">
        <v>0.2356694549575741</v>
      </c>
      <c r="N7" s="159">
        <v>0.31435999999999997</v>
      </c>
      <c r="O7" s="159">
        <v>1.696608381448117E-2</v>
      </c>
      <c r="P7" s="159">
        <v>0.68774000000000002</v>
      </c>
      <c r="Q7" s="159">
        <v>3.4426849986602004E-2</v>
      </c>
      <c r="R7" s="159">
        <v>0.35705999999999999</v>
      </c>
      <c r="S7" s="159">
        <v>5.8864870678529593E-2</v>
      </c>
      <c r="T7" s="159">
        <v>3.4859800000000001</v>
      </c>
      <c r="U7" s="159">
        <v>7.9312527383762071E-2</v>
      </c>
      <c r="V7" s="159">
        <v>94.555819999999997</v>
      </c>
      <c r="W7" s="159">
        <v>4.1799999999999988E-3</v>
      </c>
      <c r="X7" s="159">
        <v>3.0171128583465351E-2</v>
      </c>
      <c r="Y7" s="159">
        <v>0.13718000000000002</v>
      </c>
      <c r="Z7" s="159">
        <v>2.2113389609012723E-2</v>
      </c>
      <c r="AA7" s="159">
        <v>1.3166599999999999</v>
      </c>
      <c r="AB7" s="159">
        <v>4.2216619949967622E-2</v>
      </c>
      <c r="AC7" s="159">
        <v>95.872479999999996</v>
      </c>
      <c r="AD7" s="159">
        <v>0.37973779136700142</v>
      </c>
      <c r="AE7" s="160">
        <v>81.600000000000009</v>
      </c>
      <c r="AF7" s="160">
        <v>19.322849168794946</v>
      </c>
      <c r="AG7" s="140">
        <f t="shared" si="1"/>
        <v>0.13948717948717951</v>
      </c>
      <c r="AH7" s="162">
        <f t="shared" si="2"/>
        <v>0.36732498755271559</v>
      </c>
    </row>
    <row r="8" spans="1:34" x14ac:dyDescent="0.2">
      <c r="A8" s="156" t="s">
        <v>171</v>
      </c>
      <c r="B8" s="157">
        <v>1080</v>
      </c>
      <c r="C8" s="157">
        <v>414</v>
      </c>
      <c r="D8" s="158">
        <f t="shared" si="0"/>
        <v>7.390983000739098</v>
      </c>
      <c r="E8" s="159" t="s">
        <v>167</v>
      </c>
      <c r="F8" s="159">
        <v>54.797360000000005</v>
      </c>
      <c r="G8" s="159">
        <v>14.398547391247483</v>
      </c>
      <c r="H8" s="159">
        <v>0.56913999999999998</v>
      </c>
      <c r="I8" s="159">
        <v>2.4214210703634335E-2</v>
      </c>
      <c r="J8" s="159">
        <v>12.651059999999998</v>
      </c>
      <c r="K8" s="159">
        <v>4.7613948043614327</v>
      </c>
      <c r="L8" s="159">
        <v>2.0874999999999995</v>
      </c>
      <c r="M8" s="159">
        <v>3.220816437644344</v>
      </c>
      <c r="N8" s="159">
        <v>2.3693599999999995</v>
      </c>
      <c r="O8" s="159">
        <v>0.57190625368149439</v>
      </c>
      <c r="P8" s="159">
        <v>3.9037600000000006</v>
      </c>
      <c r="Q8" s="159">
        <v>0.69164732559303344</v>
      </c>
      <c r="R8" s="159">
        <v>1.35284</v>
      </c>
      <c r="S8" s="159">
        <v>0.57157292448120789</v>
      </c>
      <c r="T8" s="159">
        <v>4.3913400000000005</v>
      </c>
      <c r="U8" s="159">
        <v>0.93635391172354909</v>
      </c>
      <c r="V8" s="159">
        <v>82.460060000000013</v>
      </c>
      <c r="W8" s="159">
        <v>0.31844</v>
      </c>
      <c r="X8" s="159">
        <v>0.17788719178175805</v>
      </c>
      <c r="Y8" s="159">
        <v>1.9259999999999999E-2</v>
      </c>
      <c r="Z8" s="159">
        <v>8.767724904443568E-3</v>
      </c>
      <c r="AA8" s="159">
        <v>0.58133999999999997</v>
      </c>
      <c r="AB8" s="159">
        <v>0.16293846384448329</v>
      </c>
      <c r="AC8" s="159">
        <v>83.04140000000001</v>
      </c>
      <c r="AD8" s="159">
        <v>0.38580511422644725</v>
      </c>
      <c r="AE8" s="160">
        <v>116.46666666666667</v>
      </c>
      <c r="AF8" s="160">
        <v>11.474863833614759</v>
      </c>
      <c r="AG8" s="140">
        <f t="shared" si="1"/>
        <v>0.19908831908831909</v>
      </c>
      <c r="AH8" s="162">
        <f t="shared" si="2"/>
        <v>0.51603338511335739</v>
      </c>
    </row>
    <row r="9" spans="1:34" x14ac:dyDescent="0.2">
      <c r="A9" s="156" t="s">
        <v>172</v>
      </c>
      <c r="B9" s="157">
        <v>1100</v>
      </c>
      <c r="C9" s="157">
        <v>250</v>
      </c>
      <c r="D9" s="158">
        <f>10^4/(B9+273)</f>
        <v>7.2833211944646763</v>
      </c>
      <c r="E9" s="159" t="s">
        <v>89</v>
      </c>
      <c r="F9" s="159">
        <v>39.789560000000002</v>
      </c>
      <c r="G9" s="159">
        <v>0.15201665369294159</v>
      </c>
      <c r="H9" s="159">
        <v>2.0970599999999999</v>
      </c>
      <c r="I9" s="159">
        <v>4.3765317318625804E-2</v>
      </c>
      <c r="J9" s="159">
        <v>12.98038</v>
      </c>
      <c r="K9" s="159">
        <v>0.25649937036959752</v>
      </c>
      <c r="L9" s="159">
        <v>28.19096</v>
      </c>
      <c r="M9" s="159">
        <v>6.3511597366149503E-2</v>
      </c>
      <c r="N9" s="159">
        <v>2.85832</v>
      </c>
      <c r="O9" s="159">
        <v>4.5257839099983641E-2</v>
      </c>
      <c r="P9" s="159">
        <v>9.0156200000000002</v>
      </c>
      <c r="Q9" s="159">
        <v>0.13429125809225248</v>
      </c>
      <c r="R9" s="159">
        <v>1.45078</v>
      </c>
      <c r="S9" s="159">
        <v>0.11863571131830415</v>
      </c>
      <c r="T9" s="159">
        <v>0.71614</v>
      </c>
      <c r="U9" s="159">
        <v>1.5975700297639537E-2</v>
      </c>
      <c r="V9" s="159">
        <v>97.74102000000002</v>
      </c>
      <c r="W9" s="159">
        <v>0.54092000000000007</v>
      </c>
      <c r="X9" s="159">
        <v>8.1271747858649795E-2</v>
      </c>
      <c r="Y9" s="159">
        <v>0.10128</v>
      </c>
      <c r="Z9" s="159">
        <v>1.5492482047754658E-2</v>
      </c>
      <c r="AA9" s="159">
        <v>1.4455399999999998</v>
      </c>
      <c r="AB9" s="159">
        <v>9.5641063356698433E-2</v>
      </c>
      <c r="AC9" s="159">
        <v>99.186560000000014</v>
      </c>
      <c r="AD9" s="159">
        <v>0.53819384292084937</v>
      </c>
      <c r="AE9" s="160">
        <v>464.4</v>
      </c>
      <c r="AF9" s="160">
        <v>51.578096126165796</v>
      </c>
      <c r="AG9" s="140">
        <f t="shared" si="1"/>
        <v>0.79384615384615376</v>
      </c>
      <c r="AH9" s="162">
        <f t="shared" si="2"/>
        <v>1.4750190183110334</v>
      </c>
    </row>
    <row r="10" spans="1:34" x14ac:dyDescent="0.2">
      <c r="A10" s="156" t="s">
        <v>173</v>
      </c>
      <c r="B10" s="157">
        <v>1100</v>
      </c>
      <c r="C10" s="157">
        <v>250</v>
      </c>
      <c r="D10" s="158">
        <f t="shared" si="0"/>
        <v>7.2833211944646763</v>
      </c>
      <c r="E10" s="159" t="s">
        <v>89</v>
      </c>
      <c r="F10" s="159">
        <v>39.37894</v>
      </c>
      <c r="G10" s="159">
        <v>4.3567855122784598E-2</v>
      </c>
      <c r="H10" s="159">
        <v>1.8386799999999996</v>
      </c>
      <c r="I10" s="159">
        <v>2.5899749033533124E-2</v>
      </c>
      <c r="J10" s="159">
        <v>13.424280000000001</v>
      </c>
      <c r="K10" s="159">
        <v>0.43123832389990602</v>
      </c>
      <c r="L10" s="159">
        <v>30.791179999999997</v>
      </c>
      <c r="M10" s="159">
        <v>0.40917361474073621</v>
      </c>
      <c r="N10" s="159">
        <v>3.2979799999999999</v>
      </c>
      <c r="O10" s="159">
        <v>3.5717040750879767E-2</v>
      </c>
      <c r="P10" s="159">
        <v>5.9314200000000001</v>
      </c>
      <c r="Q10" s="159">
        <v>4.3415112576152597E-2</v>
      </c>
      <c r="R10" s="159">
        <v>0.60104000000000002</v>
      </c>
      <c r="S10" s="159">
        <v>4.9177261005468792E-2</v>
      </c>
      <c r="T10" s="159">
        <v>0.42951999999999996</v>
      </c>
      <c r="U10" s="159">
        <v>1.1094908742301592E-2</v>
      </c>
      <c r="V10" s="159">
        <v>96.456679999999992</v>
      </c>
      <c r="W10" s="159">
        <v>0.22292000000000001</v>
      </c>
      <c r="X10" s="159">
        <v>3.9121439135082918E-2</v>
      </c>
      <c r="Y10" s="159">
        <v>0.54071999999999998</v>
      </c>
      <c r="Z10" s="159">
        <v>1.8823310017103807E-2</v>
      </c>
      <c r="AA10" s="159">
        <v>2.0164200000000001</v>
      </c>
      <c r="AB10" s="159">
        <v>5.1233651050847498E-2</v>
      </c>
      <c r="AC10" s="159">
        <v>98.473099999999988</v>
      </c>
      <c r="AD10" s="159">
        <v>0.55302611204417818</v>
      </c>
      <c r="AE10" s="160">
        <v>640</v>
      </c>
      <c r="AF10" s="160">
        <v>199.81616551220273</v>
      </c>
      <c r="AG10" s="140">
        <f t="shared" si="1"/>
        <v>1.0940170940170941</v>
      </c>
      <c r="AH10" s="162">
        <f t="shared" si="2"/>
        <v>1.9782376820747647</v>
      </c>
    </row>
    <row r="11" spans="1:34" x14ac:dyDescent="0.2">
      <c r="A11" s="156" t="s">
        <v>174</v>
      </c>
      <c r="B11" s="157">
        <v>1100</v>
      </c>
      <c r="C11" s="157">
        <v>250</v>
      </c>
      <c r="D11" s="158">
        <f t="shared" si="0"/>
        <v>7.2833211944646763</v>
      </c>
      <c r="E11" s="159" t="s">
        <v>89</v>
      </c>
      <c r="F11" s="159">
        <v>50.255460000000006</v>
      </c>
      <c r="G11" s="159">
        <v>0.25282154378137955</v>
      </c>
      <c r="H11" s="159">
        <v>0.58767999999999998</v>
      </c>
      <c r="I11" s="159">
        <v>3.0073942209161757E-2</v>
      </c>
      <c r="J11" s="159">
        <v>8.536999999999999</v>
      </c>
      <c r="K11" s="159">
        <v>0.20358989414997963</v>
      </c>
      <c r="L11" s="159">
        <v>33.317019999999999</v>
      </c>
      <c r="M11" s="159">
        <v>0.15480833956864454</v>
      </c>
      <c r="N11" s="159">
        <v>0.47063999999999995</v>
      </c>
      <c r="O11" s="159">
        <v>1.2092270258309657E-2</v>
      </c>
      <c r="P11" s="159">
        <v>0.95665999999999995</v>
      </c>
      <c r="Q11" s="159">
        <v>2.0993403725932561E-2</v>
      </c>
      <c r="R11" s="159">
        <v>0.31875999999999999</v>
      </c>
      <c r="S11" s="159">
        <v>2.7871544628886292E-2</v>
      </c>
      <c r="T11" s="159">
        <v>3.0772199999999996</v>
      </c>
      <c r="U11" s="159">
        <v>4.0636953625979265E-2</v>
      </c>
      <c r="V11" s="159">
        <v>97.690600000000003</v>
      </c>
      <c r="W11" s="159">
        <v>1E-3</v>
      </c>
      <c r="X11" s="159">
        <v>1.0672253745109325E-2</v>
      </c>
      <c r="Y11" s="159">
        <v>0.17018</v>
      </c>
      <c r="Z11" s="159">
        <v>2.0799326912186337E-2</v>
      </c>
      <c r="AA11" s="159">
        <v>1.02434</v>
      </c>
      <c r="AB11" s="159">
        <v>3.1442534885088323E-2</v>
      </c>
      <c r="AC11" s="159">
        <v>98.714939999999999</v>
      </c>
      <c r="AD11" s="159">
        <v>0.34556802152914412</v>
      </c>
      <c r="AE11" s="160">
        <v>228.5</v>
      </c>
      <c r="AF11" s="160">
        <v>44.547727214752491</v>
      </c>
      <c r="AG11" s="140">
        <f t="shared" si="1"/>
        <v>0.3905982905982906</v>
      </c>
      <c r="AH11" s="162">
        <f t="shared" si="2"/>
        <v>1.1303079748811444</v>
      </c>
    </row>
    <row r="12" spans="1:34" x14ac:dyDescent="0.2">
      <c r="A12" s="156" t="s">
        <v>175</v>
      </c>
      <c r="B12" s="157">
        <v>1100</v>
      </c>
      <c r="C12" s="157">
        <v>250</v>
      </c>
      <c r="D12" s="158">
        <f t="shared" si="0"/>
        <v>7.2833211944646763</v>
      </c>
      <c r="E12" s="159" t="s">
        <v>89</v>
      </c>
      <c r="F12" s="159">
        <v>39.967319999999994</v>
      </c>
      <c r="G12" s="159">
        <v>0.20650173607018188</v>
      </c>
      <c r="H12" s="159">
        <v>1.7973799999999998</v>
      </c>
      <c r="I12" s="159">
        <v>3.9634038401353933E-2</v>
      </c>
      <c r="J12" s="159">
        <v>9.5998800000000006</v>
      </c>
      <c r="K12" s="159">
        <v>0.26340559409397535</v>
      </c>
      <c r="L12" s="159">
        <v>32.308080000000004</v>
      </c>
      <c r="M12" s="159">
        <v>0.23480067504161772</v>
      </c>
      <c r="N12" s="159">
        <v>2.2174399999999999</v>
      </c>
      <c r="O12" s="159">
        <v>5.9129518854797395E-3</v>
      </c>
      <c r="P12" s="159">
        <v>6.8282800000000012</v>
      </c>
      <c r="Q12" s="159">
        <v>2.5372563922473352E-2</v>
      </c>
      <c r="R12" s="159">
        <v>1.5962000000000001</v>
      </c>
      <c r="S12" s="159">
        <v>5.0922146459080053E-2</v>
      </c>
      <c r="T12" s="159">
        <v>1.12408</v>
      </c>
      <c r="U12" s="159">
        <v>1.7993526613757537E-2</v>
      </c>
      <c r="V12" s="159">
        <v>96.427359999999993</v>
      </c>
      <c r="W12" s="159">
        <v>0.65288000000000002</v>
      </c>
      <c r="X12" s="159">
        <v>2.8370706723661262E-2</v>
      </c>
      <c r="Y12" s="159">
        <v>0.33582000000000006</v>
      </c>
      <c r="Z12" s="159">
        <v>2.0064570765406377E-2</v>
      </c>
      <c r="AA12" s="159">
        <v>2.0214000000000003</v>
      </c>
      <c r="AB12" s="159">
        <v>8.3699850656975508E-2</v>
      </c>
      <c r="AC12" s="159">
        <v>98.448759999999993</v>
      </c>
      <c r="AD12" s="159">
        <v>0.46077831559331689</v>
      </c>
      <c r="AE12" s="160">
        <v>457.28571428571428</v>
      </c>
      <c r="AF12" s="160">
        <v>53.906444530359934</v>
      </c>
      <c r="AG12" s="140">
        <f t="shared" si="1"/>
        <v>0.78168498168498168</v>
      </c>
      <c r="AH12" s="162">
        <f t="shared" si="2"/>
        <v>1.6964448092103734</v>
      </c>
    </row>
    <row r="13" spans="1:34" x14ac:dyDescent="0.2">
      <c r="A13" s="156" t="s">
        <v>176</v>
      </c>
      <c r="B13" s="157">
        <v>1100</v>
      </c>
      <c r="C13" s="157">
        <v>250</v>
      </c>
      <c r="D13" s="158">
        <f t="shared" si="0"/>
        <v>7.2833211944646763</v>
      </c>
      <c r="E13" s="159" t="s">
        <v>89</v>
      </c>
      <c r="F13" s="159">
        <v>40.265380000000007</v>
      </c>
      <c r="G13" s="159">
        <v>0.24393742435305074</v>
      </c>
      <c r="H13" s="159">
        <v>0.43782000000000004</v>
      </c>
      <c r="I13" s="159">
        <v>2.711774326893741E-2</v>
      </c>
      <c r="J13" s="159">
        <v>13.59656</v>
      </c>
      <c r="K13" s="159">
        <v>0.13471636129290301</v>
      </c>
      <c r="L13" s="159">
        <v>26.95356</v>
      </c>
      <c r="M13" s="159">
        <v>0.25359048286558411</v>
      </c>
      <c r="N13" s="159">
        <v>4.065199999999999</v>
      </c>
      <c r="O13" s="159">
        <v>4.3190392450173531E-2</v>
      </c>
      <c r="P13" s="159">
        <v>9.5714599999999983</v>
      </c>
      <c r="Q13" s="159">
        <v>8.1574156446757168E-2</v>
      </c>
      <c r="R13" s="159">
        <v>0.35602000000000006</v>
      </c>
      <c r="S13" s="159">
        <v>6.0146462905144908E-2</v>
      </c>
      <c r="T13" s="159">
        <v>0.95885999999999993</v>
      </c>
      <c r="U13" s="159">
        <v>2.2825490137125214E-2</v>
      </c>
      <c r="V13" s="159">
        <v>96.59984</v>
      </c>
      <c r="W13" s="159">
        <v>0.16611999999999999</v>
      </c>
      <c r="X13" s="159">
        <v>4.1470917520595105E-2</v>
      </c>
      <c r="Y13" s="159">
        <v>0.22885999999999998</v>
      </c>
      <c r="Z13" s="159">
        <v>2.5489664572135907E-2</v>
      </c>
      <c r="AA13" s="159">
        <v>2.16134</v>
      </c>
      <c r="AB13" s="159">
        <v>8.7081415927854441E-2</v>
      </c>
      <c r="AC13" s="159">
        <v>98.761179999999996</v>
      </c>
      <c r="AD13" s="159">
        <v>0.54431070798604364</v>
      </c>
      <c r="AE13" s="160">
        <v>407.66666666666669</v>
      </c>
      <c r="AF13" s="160">
        <v>23.157432212286981</v>
      </c>
      <c r="AG13" s="140">
        <f t="shared" si="1"/>
        <v>0.69686609686609691</v>
      </c>
      <c r="AH13" s="162">
        <f t="shared" si="2"/>
        <v>1.280272621210246</v>
      </c>
    </row>
    <row r="14" spans="1:34" x14ac:dyDescent="0.2">
      <c r="A14" s="156" t="s">
        <v>177</v>
      </c>
      <c r="B14" s="157">
        <v>1100</v>
      </c>
      <c r="C14" s="157">
        <v>195</v>
      </c>
      <c r="D14" s="158">
        <f>10^4/(B14+273)</f>
        <v>7.2833211944646763</v>
      </c>
      <c r="E14" s="159" t="s">
        <v>167</v>
      </c>
      <c r="F14" s="159">
        <v>54.290850000000006</v>
      </c>
      <c r="G14" s="159">
        <v>0.78121828148945327</v>
      </c>
      <c r="H14" s="159">
        <v>3.1249999999999997E-3</v>
      </c>
      <c r="I14" s="159">
        <v>6.2776720738396876E-3</v>
      </c>
      <c r="J14" s="159">
        <v>16.40325</v>
      </c>
      <c r="K14" s="159">
        <v>0.22016873074985033</v>
      </c>
      <c r="L14" s="159">
        <v>0.52632499999999993</v>
      </c>
      <c r="M14" s="159">
        <v>1.1546824960423844E-2</v>
      </c>
      <c r="N14" s="159">
        <v>9.0636749999999999</v>
      </c>
      <c r="O14" s="159">
        <v>0.46378545596715998</v>
      </c>
      <c r="P14" s="159">
        <v>2.58E-2</v>
      </c>
      <c r="Q14" s="159">
        <v>1.4761887864813677E-2</v>
      </c>
      <c r="R14" s="159">
        <v>1.2077500000000001</v>
      </c>
      <c r="S14" s="159">
        <v>6.6309702658560135E-2</v>
      </c>
      <c r="T14" s="159">
        <v>1.7500000000000005E-4</v>
      </c>
      <c r="U14" s="159">
        <v>1.5521490478258414E-3</v>
      </c>
      <c r="V14" s="159">
        <v>81.554700000000011</v>
      </c>
      <c r="W14" s="159">
        <v>1.7399999999999999E-2</v>
      </c>
      <c r="X14" s="159">
        <v>1.4118781817139894E-2</v>
      </c>
      <c r="Y14" s="159">
        <v>1.635E-2</v>
      </c>
      <c r="Z14" s="159">
        <v>1.8497297099846773E-2</v>
      </c>
      <c r="AA14" s="159">
        <v>1.069725</v>
      </c>
      <c r="AB14" s="159">
        <v>0.13677905236792048</v>
      </c>
      <c r="AC14" s="159">
        <v>82.624425000000016</v>
      </c>
      <c r="AD14" s="159">
        <v>0.44340692260041253</v>
      </c>
      <c r="AE14" s="160">
        <v>286</v>
      </c>
      <c r="AF14" s="160">
        <v>9.1336374645227352</v>
      </c>
      <c r="AG14" s="140">
        <f t="shared" si="1"/>
        <v>0.48888888888888887</v>
      </c>
      <c r="AH14" s="162">
        <f t="shared" si="2"/>
        <v>1.1025738750801226</v>
      </c>
    </row>
    <row r="15" spans="1:34" x14ac:dyDescent="0.2">
      <c r="A15" s="156" t="s">
        <v>178</v>
      </c>
      <c r="B15" s="157">
        <v>1100</v>
      </c>
      <c r="C15" s="157">
        <v>195</v>
      </c>
      <c r="D15" s="158">
        <f>10^4/(B15+273)</f>
        <v>7.2833211944646763</v>
      </c>
      <c r="E15" s="159" t="s">
        <v>167</v>
      </c>
      <c r="F15" s="159">
        <v>55.899659999999997</v>
      </c>
      <c r="G15" s="159">
        <v>0.17874211311272054</v>
      </c>
      <c r="H15" s="159">
        <v>2.4363999999999999</v>
      </c>
      <c r="I15" s="159">
        <v>5.8554034873781309E-2</v>
      </c>
      <c r="J15" s="159">
        <v>12.913659999999998</v>
      </c>
      <c r="K15" s="159">
        <v>0.15835879514570728</v>
      </c>
      <c r="L15" s="159">
        <v>0.7251399999999999</v>
      </c>
      <c r="M15" s="159">
        <v>7.210993690192774E-2</v>
      </c>
      <c r="N15" s="159">
        <v>2.9128799999999999</v>
      </c>
      <c r="O15" s="159">
        <v>0.12692553722557179</v>
      </c>
      <c r="P15" s="159">
        <v>9.3296399999999995</v>
      </c>
      <c r="Q15" s="159">
        <v>0.16029578285157703</v>
      </c>
      <c r="R15" s="159">
        <v>1.9794400000000003</v>
      </c>
      <c r="S15" s="159">
        <v>3.250873728707402E-2</v>
      </c>
      <c r="T15" s="159">
        <v>1.5173000000000001</v>
      </c>
      <c r="U15" s="159">
        <v>2.5919008468689574E-2</v>
      </c>
      <c r="V15" s="159">
        <v>88.997099999999989</v>
      </c>
      <c r="W15" s="159">
        <v>1.2674999999999998</v>
      </c>
      <c r="X15" s="159">
        <v>4.7766201439930274E-2</v>
      </c>
      <c r="Y15" s="159">
        <v>1.5479999999999997E-2</v>
      </c>
      <c r="Z15" s="159">
        <v>2.0344212936361045E-2</v>
      </c>
      <c r="AA15" s="159">
        <v>1.46306</v>
      </c>
      <c r="AB15" s="159">
        <v>3.2251868162945237E-2</v>
      </c>
      <c r="AC15" s="159">
        <v>90.460159999999988</v>
      </c>
      <c r="AD15" s="159">
        <v>0.38210231236350833</v>
      </c>
      <c r="AE15" s="160">
        <v>321.28571428571428</v>
      </c>
      <c r="AF15" s="160">
        <v>19.498417156398556</v>
      </c>
      <c r="AG15" s="140">
        <f t="shared" si="1"/>
        <v>0.54920634920634914</v>
      </c>
      <c r="AH15" s="162">
        <f t="shared" si="2"/>
        <v>1.4373279915769481</v>
      </c>
    </row>
    <row r="16" spans="1:34" x14ac:dyDescent="0.2">
      <c r="A16" s="156" t="s">
        <v>179</v>
      </c>
      <c r="B16" s="157">
        <v>1100</v>
      </c>
      <c r="C16" s="157">
        <v>195</v>
      </c>
      <c r="D16" s="158">
        <f>10^4/(B16+273)</f>
        <v>7.2833211944646763</v>
      </c>
      <c r="E16" s="159" t="s">
        <v>167</v>
      </c>
      <c r="F16" s="159">
        <v>48.312959999999997</v>
      </c>
      <c r="G16" s="159">
        <v>0.18872448966681762</v>
      </c>
      <c r="H16" s="159">
        <v>0.54400000000000004</v>
      </c>
      <c r="I16" s="159">
        <v>2.6331255192261531E-2</v>
      </c>
      <c r="J16" s="159">
        <v>23.08652</v>
      </c>
      <c r="K16" s="159">
        <v>0.2958394108295917</v>
      </c>
      <c r="L16" s="159">
        <v>0.20023999999999997</v>
      </c>
      <c r="M16" s="159">
        <v>2.8296784269595334E-2</v>
      </c>
      <c r="N16" s="159">
        <v>5.9664999999999999</v>
      </c>
      <c r="O16" s="159">
        <v>4.9523580242143449E-2</v>
      </c>
      <c r="P16" s="159">
        <v>11.63796</v>
      </c>
      <c r="Q16" s="159">
        <v>5.9181779290588925E-2</v>
      </c>
      <c r="R16" s="159">
        <v>0.43070000000000003</v>
      </c>
      <c r="S16" s="159">
        <v>3.143556902618435E-2</v>
      </c>
      <c r="T16" s="159">
        <v>1.15194</v>
      </c>
      <c r="U16" s="159">
        <v>2.01144972594395E-2</v>
      </c>
      <c r="V16" s="159">
        <v>91.56783999999999</v>
      </c>
      <c r="W16" s="159">
        <v>0.23349999999999999</v>
      </c>
      <c r="X16" s="159">
        <v>3.6555847685425247E-2</v>
      </c>
      <c r="Y16" s="159">
        <v>3.5199999999999997E-3</v>
      </c>
      <c r="Z16" s="159">
        <v>2.777628484876982E-2</v>
      </c>
      <c r="AA16" s="159">
        <v>1.37086</v>
      </c>
      <c r="AB16" s="159">
        <v>6.8775053616845744E-2</v>
      </c>
      <c r="AC16" s="159">
        <v>92.938699999999983</v>
      </c>
      <c r="AD16" s="159">
        <v>0.5911255740917255</v>
      </c>
      <c r="AE16" s="160">
        <v>528.86666666666667</v>
      </c>
      <c r="AF16" s="160">
        <v>21.642081289462038</v>
      </c>
      <c r="AG16" s="140">
        <f t="shared" si="1"/>
        <v>0.90404558404558411</v>
      </c>
      <c r="AH16" s="162">
        <f t="shared" si="2"/>
        <v>1.5293630045268563</v>
      </c>
    </row>
    <row r="17" spans="1:34" x14ac:dyDescent="0.2">
      <c r="A17" s="156" t="s">
        <v>180</v>
      </c>
      <c r="B17" s="157">
        <v>1100</v>
      </c>
      <c r="C17" s="157">
        <v>195</v>
      </c>
      <c r="D17" s="158">
        <f>10^4/(B17+273)</f>
        <v>7.2833211944646763</v>
      </c>
      <c r="E17" s="159" t="s">
        <v>167</v>
      </c>
      <c r="F17" s="159">
        <v>61.011000000000003</v>
      </c>
      <c r="G17" s="159">
        <v>0.30180996504423041</v>
      </c>
      <c r="H17" s="159">
        <v>0.63423999999999991</v>
      </c>
      <c r="I17" s="159">
        <v>1.7475354073666165E-2</v>
      </c>
      <c r="J17" s="159">
        <v>15.780019999999999</v>
      </c>
      <c r="K17" s="159">
        <v>9.1075419296317184E-2</v>
      </c>
      <c r="L17" s="159">
        <v>0.11138000000000001</v>
      </c>
      <c r="M17" s="159">
        <v>3.1007047585992431E-2</v>
      </c>
      <c r="N17" s="159">
        <v>3.3789600000000002</v>
      </c>
      <c r="O17" s="159">
        <v>6.0829211732522079E-2</v>
      </c>
      <c r="P17" s="159">
        <v>4.28416</v>
      </c>
      <c r="Q17" s="159">
        <v>4.2685688468150518E-2</v>
      </c>
      <c r="R17" s="159">
        <v>1.5419999999999998</v>
      </c>
      <c r="S17" s="159">
        <v>8.247545089297785E-2</v>
      </c>
      <c r="T17" s="159">
        <v>5.42828</v>
      </c>
      <c r="U17" s="159">
        <v>5.4695493415820154E-2</v>
      </c>
      <c r="V17" s="159">
        <v>92.401600000000016</v>
      </c>
      <c r="W17" s="159">
        <v>0.23136000000000001</v>
      </c>
      <c r="X17" s="159">
        <v>2.4108566942064386E-2</v>
      </c>
      <c r="Y17" s="159">
        <v>1.9999999999999982E-4</v>
      </c>
      <c r="Z17" s="159">
        <v>7.223226425912453E-3</v>
      </c>
      <c r="AA17" s="159">
        <v>0.68911999999999995</v>
      </c>
      <c r="AB17" s="159">
        <v>2.9662215021808481E-2</v>
      </c>
      <c r="AC17" s="159">
        <v>93.090720000000019</v>
      </c>
      <c r="AD17" s="159">
        <v>0.38699895266219192</v>
      </c>
      <c r="AE17" s="160">
        <v>416.71428571428572</v>
      </c>
      <c r="AF17" s="160">
        <v>34.80470294283198</v>
      </c>
      <c r="AG17" s="140">
        <f t="shared" si="1"/>
        <v>0.71233211233211235</v>
      </c>
      <c r="AH17" s="162">
        <f t="shared" si="2"/>
        <v>1.840656434421674</v>
      </c>
    </row>
    <row r="18" spans="1:34" x14ac:dyDescent="0.2">
      <c r="A18" s="156" t="s">
        <v>181</v>
      </c>
      <c r="B18" s="157">
        <v>1130</v>
      </c>
      <c r="C18" s="157">
        <v>197</v>
      </c>
      <c r="D18" s="158">
        <f t="shared" ref="D18:D25" si="3">10^4/(B18+273)</f>
        <v>7.1275837491090517</v>
      </c>
      <c r="E18" s="159" t="s">
        <v>167</v>
      </c>
      <c r="F18" s="159">
        <v>39.837620000000001</v>
      </c>
      <c r="G18" s="159">
        <v>0.24265760239481379</v>
      </c>
      <c r="H18" s="159">
        <v>1.9003000000000001</v>
      </c>
      <c r="I18" s="159">
        <v>3.4340792070073137E-2</v>
      </c>
      <c r="J18" s="159">
        <v>13.706440000000001</v>
      </c>
      <c r="K18" s="159">
        <v>0.29783664650274277</v>
      </c>
      <c r="L18" s="159">
        <v>14.205580000000001</v>
      </c>
      <c r="M18" s="159">
        <v>0.1184378191288576</v>
      </c>
      <c r="N18" s="159">
        <v>7.9039799999999998</v>
      </c>
      <c r="O18" s="159">
        <v>8.4632097929804362E-2</v>
      </c>
      <c r="P18" s="159">
        <v>9.0325600000000001</v>
      </c>
      <c r="Q18" s="159">
        <v>4.1144355627473622E-2</v>
      </c>
      <c r="R18" s="159">
        <v>1.22296</v>
      </c>
      <c r="S18" s="159">
        <v>7.5243159157494216E-2</v>
      </c>
      <c r="T18" s="159">
        <v>0.66754000000000002</v>
      </c>
      <c r="U18" s="159">
        <v>2.7951976674289059E-2</v>
      </c>
      <c r="V18" s="159">
        <v>89.253439999999998</v>
      </c>
      <c r="W18" s="159">
        <v>0.54127999999999998</v>
      </c>
      <c r="X18" s="159">
        <v>5.135578837872122E-2</v>
      </c>
      <c r="Y18" s="159">
        <v>0.23518</v>
      </c>
      <c r="Z18" s="159">
        <v>3.84213742596487E-2</v>
      </c>
      <c r="AA18" s="159">
        <v>2.8622199999999998</v>
      </c>
      <c r="AB18" s="159">
        <v>6.6567086461704145E-2</v>
      </c>
      <c r="AC18" s="159">
        <v>92.115659999999991</v>
      </c>
      <c r="AD18" s="159">
        <v>0.55237384738868411</v>
      </c>
      <c r="AE18" s="160">
        <v>458.30872802557144</v>
      </c>
      <c r="AF18" s="160">
        <v>110.66850265260977</v>
      </c>
      <c r="AG18" s="140">
        <f t="shared" si="1"/>
        <v>0.78343372312063497</v>
      </c>
      <c r="AH18" s="162">
        <f t="shared" si="2"/>
        <v>1.4183034313160792</v>
      </c>
    </row>
    <row r="19" spans="1:34" x14ac:dyDescent="0.2">
      <c r="A19" s="156" t="s">
        <v>182</v>
      </c>
      <c r="B19" s="157">
        <v>1130</v>
      </c>
      <c r="C19" s="157">
        <v>197</v>
      </c>
      <c r="D19" s="158">
        <f t="shared" si="3"/>
        <v>7.1275837491090517</v>
      </c>
      <c r="E19" s="159" t="s">
        <v>167</v>
      </c>
      <c r="F19" s="159">
        <v>60.089659999999995</v>
      </c>
      <c r="G19" s="159">
        <v>0.13001833716826111</v>
      </c>
      <c r="H19" s="159">
        <v>0.61343999999999999</v>
      </c>
      <c r="I19" s="159">
        <v>2.408231716425974E-2</v>
      </c>
      <c r="J19" s="159">
        <v>10.66208</v>
      </c>
      <c r="K19" s="159">
        <v>0.22492186865665179</v>
      </c>
      <c r="L19" s="159">
        <v>15.591659999999999</v>
      </c>
      <c r="M19" s="159">
        <v>0.10334492246840224</v>
      </c>
      <c r="N19" s="159">
        <v>0.61687999999999998</v>
      </c>
      <c r="O19" s="159">
        <v>1.4349808361089714E-2</v>
      </c>
      <c r="P19" s="159">
        <v>1.12724</v>
      </c>
      <c r="Q19" s="159">
        <v>2.5943168657663936E-2</v>
      </c>
      <c r="R19" s="159">
        <v>0.43490000000000001</v>
      </c>
      <c r="S19" s="159">
        <v>4.7643310128495486E-2</v>
      </c>
      <c r="T19" s="159">
        <v>4.4473199999999995</v>
      </c>
      <c r="U19" s="159">
        <v>6.6315548704658944E-2</v>
      </c>
      <c r="V19" s="159">
        <v>93.7971</v>
      </c>
      <c r="W19" s="159">
        <v>2.2520000000000002E-2</v>
      </c>
      <c r="X19" s="159">
        <v>3.0824535681823334E-2</v>
      </c>
      <c r="Y19" s="159">
        <v>0.19139999999999999</v>
      </c>
      <c r="Z19" s="159">
        <v>1.5144305860619694E-2</v>
      </c>
      <c r="AA19" s="159">
        <v>1.00722</v>
      </c>
      <c r="AB19" s="159">
        <v>2.2972853544999609E-2</v>
      </c>
      <c r="AC19" s="159">
        <v>94.804320000000004</v>
      </c>
      <c r="AD19" s="159">
        <v>0.32298725097144232</v>
      </c>
      <c r="AE19" s="160">
        <v>135.404360763619</v>
      </c>
      <c r="AF19" s="160">
        <v>54.141021628537501</v>
      </c>
      <c r="AG19" s="140">
        <f t="shared" si="1"/>
        <v>0.23146044574977606</v>
      </c>
      <c r="AH19" s="162">
        <f t="shared" si="2"/>
        <v>0.7166240929126988</v>
      </c>
    </row>
    <row r="20" spans="1:34" x14ac:dyDescent="0.2">
      <c r="A20" s="156" t="s">
        <v>183</v>
      </c>
      <c r="B20" s="157">
        <v>1130</v>
      </c>
      <c r="C20" s="157">
        <v>197</v>
      </c>
      <c r="D20" s="158">
        <f t="shared" si="3"/>
        <v>7.1275837491090517</v>
      </c>
      <c r="E20" s="159" t="s">
        <v>167</v>
      </c>
      <c r="F20" s="159">
        <v>44.664120000000004</v>
      </c>
      <c r="G20" s="159">
        <v>0.25374874778016027</v>
      </c>
      <c r="H20" s="159">
        <v>2.1017600000000001</v>
      </c>
      <c r="I20" s="159">
        <v>2.6913992643233037E-2</v>
      </c>
      <c r="J20" s="159">
        <v>11.48888</v>
      </c>
      <c r="K20" s="159">
        <v>0.14018700724389535</v>
      </c>
      <c r="L20" s="159">
        <v>20.28088</v>
      </c>
      <c r="M20" s="159">
        <v>0.17590107162834451</v>
      </c>
      <c r="N20" s="159">
        <v>2.6620599999999999</v>
      </c>
      <c r="O20" s="159">
        <v>3.7815777130716252E-2</v>
      </c>
      <c r="P20" s="159">
        <v>7.9844200000000001</v>
      </c>
      <c r="Q20" s="159">
        <v>7.0525718713104701E-2</v>
      </c>
      <c r="R20" s="159">
        <v>1.7803599999999999</v>
      </c>
      <c r="S20" s="159">
        <v>8.9189309897543229E-2</v>
      </c>
      <c r="T20" s="159">
        <v>1.3534799999999998</v>
      </c>
      <c r="U20" s="159">
        <v>1.773603676135118E-2</v>
      </c>
      <c r="V20" s="159">
        <v>93.722639999999998</v>
      </c>
      <c r="W20" s="159">
        <v>1.0811199999999999</v>
      </c>
      <c r="X20" s="159">
        <v>9.0744459885989698E-2</v>
      </c>
      <c r="Y20" s="159">
        <v>0.32556000000000002</v>
      </c>
      <c r="Z20" s="159">
        <v>1.7483220527122562E-2</v>
      </c>
      <c r="AA20" s="159">
        <v>2.6238999999999999</v>
      </c>
      <c r="AB20" s="159">
        <v>6.5456588667604773E-2</v>
      </c>
      <c r="AC20" s="159">
        <v>96.346540000000005</v>
      </c>
      <c r="AD20" s="159">
        <v>0.4510702903889563</v>
      </c>
      <c r="AE20" s="160">
        <v>419.97539498583563</v>
      </c>
      <c r="AF20" s="160">
        <v>34.377919904238297</v>
      </c>
      <c r="AG20" s="140">
        <f t="shared" si="1"/>
        <v>0.71790665809544552</v>
      </c>
      <c r="AH20" s="162">
        <f t="shared" si="2"/>
        <v>1.5915627195850057</v>
      </c>
    </row>
    <row r="21" spans="1:34" x14ac:dyDescent="0.2">
      <c r="A21" s="156" t="s">
        <v>184</v>
      </c>
      <c r="B21" s="157">
        <v>1130</v>
      </c>
      <c r="C21" s="157">
        <v>197</v>
      </c>
      <c r="D21" s="158"/>
      <c r="E21" s="159" t="s">
        <v>167</v>
      </c>
      <c r="F21" s="159">
        <v>53.789880000000004</v>
      </c>
      <c r="G21" s="159">
        <v>0.52679427863256145</v>
      </c>
      <c r="H21" s="159">
        <v>0.54814000000000007</v>
      </c>
      <c r="I21" s="159">
        <v>1.7412007351250459E-2</v>
      </c>
      <c r="J21" s="159">
        <v>14.729739999999998</v>
      </c>
      <c r="K21" s="159">
        <v>0.14743928580944768</v>
      </c>
      <c r="L21" s="159">
        <v>10.504579999999999</v>
      </c>
      <c r="M21" s="159">
        <v>0.47114687412737893</v>
      </c>
      <c r="N21" s="159">
        <v>3.0772399999999998</v>
      </c>
      <c r="O21" s="159">
        <v>2.9778734022788803E-2</v>
      </c>
      <c r="P21" s="159">
        <v>3.8257399999999997</v>
      </c>
      <c r="Q21" s="159">
        <v>5.6667256859671659E-2</v>
      </c>
      <c r="R21" s="159">
        <v>1.51162</v>
      </c>
      <c r="S21" s="159">
        <v>5.9920672559643395E-2</v>
      </c>
      <c r="T21" s="159">
        <v>5.3998000000000008</v>
      </c>
      <c r="U21" s="159">
        <v>0.14833165542122173</v>
      </c>
      <c r="V21" s="159">
        <v>93.801360000000003</v>
      </c>
      <c r="W21" s="159">
        <v>0.2364</v>
      </c>
      <c r="X21" s="159">
        <v>4.0268908602046752E-2</v>
      </c>
      <c r="Y21" s="159">
        <v>0.17821999999999999</v>
      </c>
      <c r="Z21" s="159">
        <v>1.8488564032936687E-2</v>
      </c>
      <c r="AA21" s="159">
        <v>1.2865800000000001</v>
      </c>
      <c r="AB21" s="159">
        <v>6.7807978881544592E-2</v>
      </c>
      <c r="AC21" s="159">
        <v>95.087940000000003</v>
      </c>
      <c r="AD21" s="159">
        <v>0.42409301888708056</v>
      </c>
      <c r="AE21" s="160">
        <v>193.6298624929405</v>
      </c>
      <c r="AF21" s="160">
        <v>106.33123510935992</v>
      </c>
      <c r="AG21" s="140">
        <f t="shared" si="1"/>
        <v>0.33099121793665043</v>
      </c>
      <c r="AH21" s="162">
        <f t="shared" si="2"/>
        <v>0.78046844252529535</v>
      </c>
    </row>
    <row r="22" spans="1:34" x14ac:dyDescent="0.2">
      <c r="A22" s="156" t="s">
        <v>186</v>
      </c>
      <c r="B22" s="157">
        <v>1130</v>
      </c>
      <c r="C22" s="157">
        <v>194</v>
      </c>
      <c r="D22" s="158">
        <f t="shared" si="3"/>
        <v>7.1275837491090517</v>
      </c>
      <c r="E22" s="159" t="s">
        <v>185</v>
      </c>
      <c r="F22" s="159">
        <v>70.474920000000012</v>
      </c>
      <c r="G22" s="159">
        <v>0.24041672570767589</v>
      </c>
      <c r="H22" s="159">
        <v>0.68972</v>
      </c>
      <c r="I22" s="159">
        <v>3.4113882804512309E-2</v>
      </c>
      <c r="J22" s="159">
        <v>11.778980000000001</v>
      </c>
      <c r="K22" s="159">
        <v>0.10072078732813777</v>
      </c>
      <c r="L22" s="159">
        <v>0.11564000000000001</v>
      </c>
      <c r="M22" s="159">
        <v>2.4014329055794977E-2</v>
      </c>
      <c r="N22" s="159">
        <v>0.48751999999999995</v>
      </c>
      <c r="O22" s="159">
        <v>8.7353877990619336E-3</v>
      </c>
      <c r="P22" s="159">
        <v>1.0774999999999999</v>
      </c>
      <c r="Q22" s="159">
        <v>2.7646880475019259E-2</v>
      </c>
      <c r="R22" s="159">
        <v>0.55254000000000003</v>
      </c>
      <c r="S22" s="159">
        <v>5.0335752701236129E-2</v>
      </c>
      <c r="T22" s="159">
        <v>5.4092000000000002</v>
      </c>
      <c r="U22" s="159">
        <v>5.1036457557318803E-2</v>
      </c>
      <c r="V22" s="159">
        <v>90.650980000000004</v>
      </c>
      <c r="W22" s="159">
        <v>4.898000000000001E-2</v>
      </c>
      <c r="X22" s="159">
        <v>8.1650517450901683E-2</v>
      </c>
      <c r="Y22" s="159">
        <v>1.5980000000000001E-2</v>
      </c>
      <c r="Z22" s="159">
        <v>1.0268252042095576E-2</v>
      </c>
      <c r="AA22" s="159">
        <v>0.21038000000000001</v>
      </c>
      <c r="AB22" s="159">
        <v>2.7548448232159847E-2</v>
      </c>
      <c r="AC22" s="159">
        <v>90.861360000000005</v>
      </c>
      <c r="AD22" s="159">
        <v>0.28945656834303463</v>
      </c>
      <c r="AE22" s="160">
        <v>69.78248172603351</v>
      </c>
      <c r="AF22" s="160">
        <v>32.196621645754057</v>
      </c>
      <c r="AG22" s="140">
        <f t="shared" si="1"/>
        <v>0.11928629354877524</v>
      </c>
      <c r="AH22" s="162">
        <f t="shared" si="2"/>
        <v>0.41210428988230524</v>
      </c>
    </row>
    <row r="23" spans="1:34" x14ac:dyDescent="0.2">
      <c r="A23" s="156" t="s">
        <v>187</v>
      </c>
      <c r="B23" s="157">
        <v>1130</v>
      </c>
      <c r="C23" s="157">
        <v>194</v>
      </c>
      <c r="D23" s="158">
        <f t="shared" si="3"/>
        <v>7.1275837491090517</v>
      </c>
      <c r="E23" s="159" t="s">
        <v>185</v>
      </c>
      <c r="F23" s="159">
        <v>51.536580000000001</v>
      </c>
      <c r="G23" s="159">
        <v>0.61208742594501919</v>
      </c>
      <c r="H23" s="159">
        <v>2.3759399999999999</v>
      </c>
      <c r="I23" s="159">
        <v>3.159862338773637E-2</v>
      </c>
      <c r="J23" s="159">
        <v>12.525760000000002</v>
      </c>
      <c r="K23" s="159">
        <v>0.27769246118683116</v>
      </c>
      <c r="L23" s="159">
        <v>3.5041600000000002</v>
      </c>
      <c r="M23" s="159">
        <v>8.1001345667834443E-2</v>
      </c>
      <c r="N23" s="159">
        <v>2.9547800000000004</v>
      </c>
      <c r="O23" s="159">
        <v>6.1894361617194249E-2</v>
      </c>
      <c r="P23" s="159">
        <v>9.0810200000000005</v>
      </c>
      <c r="Q23" s="159">
        <v>9.7148015934448939E-2</v>
      </c>
      <c r="R23" s="159">
        <v>2.0250200000000005</v>
      </c>
      <c r="S23" s="159">
        <v>8.2485435077957858E-2</v>
      </c>
      <c r="T23" s="159">
        <v>1.5004200000000001</v>
      </c>
      <c r="U23" s="159">
        <v>2.2806292991189931E-2</v>
      </c>
      <c r="V23" s="159">
        <v>86.810859999999991</v>
      </c>
      <c r="W23" s="159">
        <v>1.29332</v>
      </c>
      <c r="X23" s="159">
        <v>8.8599700902429718E-2</v>
      </c>
      <c r="Y23" s="159">
        <v>1.3860000000000001E-2</v>
      </c>
      <c r="Z23" s="159">
        <v>2.3212345853015376E-2</v>
      </c>
      <c r="AA23" s="159">
        <v>1.0762</v>
      </c>
      <c r="AB23" s="159">
        <v>5.8250278969289061E-2</v>
      </c>
      <c r="AC23" s="159">
        <v>87.887059999999991</v>
      </c>
      <c r="AD23" s="159">
        <v>0.40817895203874111</v>
      </c>
      <c r="AE23" s="160">
        <v>161.6</v>
      </c>
      <c r="AF23" s="160">
        <v>12.177848742696717</v>
      </c>
      <c r="AG23" s="140">
        <f t="shared" si="1"/>
        <v>0.27623931623931625</v>
      </c>
      <c r="AH23" s="162">
        <f t="shared" si="2"/>
        <v>0.67676031519895175</v>
      </c>
    </row>
    <row r="24" spans="1:34" x14ac:dyDescent="0.2">
      <c r="A24" s="156" t="s">
        <v>188</v>
      </c>
      <c r="B24" s="157">
        <v>1130</v>
      </c>
      <c r="C24" s="157">
        <v>194</v>
      </c>
      <c r="D24" s="158">
        <f t="shared" si="3"/>
        <v>7.1275837491090517</v>
      </c>
      <c r="E24" s="159" t="s">
        <v>185</v>
      </c>
      <c r="F24" s="159">
        <v>46.263739999999999</v>
      </c>
      <c r="G24" s="159">
        <v>0.27069049299892228</v>
      </c>
      <c r="H24" s="159">
        <v>0.56977999999999995</v>
      </c>
      <c r="I24" s="159">
        <v>1.8296775672232514E-2</v>
      </c>
      <c r="J24" s="159">
        <v>22.417479999999998</v>
      </c>
      <c r="K24" s="159">
        <v>0.32057224926683764</v>
      </c>
      <c r="L24" s="159">
        <v>0.55224000000000006</v>
      </c>
      <c r="M24" s="159">
        <v>3.8413318003005133E-2</v>
      </c>
      <c r="N24" s="159">
        <v>5.9101400000000002</v>
      </c>
      <c r="O24" s="159">
        <v>2.2354820509232352E-2</v>
      </c>
      <c r="P24" s="159">
        <v>11.386280000000001</v>
      </c>
      <c r="Q24" s="159">
        <v>0.14722245752601712</v>
      </c>
      <c r="R24" s="159">
        <v>0.41947999999999996</v>
      </c>
      <c r="S24" s="159">
        <v>5.5778239484587801E-2</v>
      </c>
      <c r="T24" s="159">
        <v>1.1616199999999999</v>
      </c>
      <c r="U24" s="159">
        <v>4.3135565372439511E-2</v>
      </c>
      <c r="V24" s="159">
        <v>88.933299999999974</v>
      </c>
      <c r="W24" s="159">
        <v>0.24392</v>
      </c>
      <c r="X24" s="159">
        <v>3.3628589027790229E-2</v>
      </c>
      <c r="Y24" s="159">
        <v>8.6199999999999992E-3</v>
      </c>
      <c r="Z24" s="159">
        <v>2.0086736917677792E-2</v>
      </c>
      <c r="AA24" s="159">
        <v>0.94403999999999999</v>
      </c>
      <c r="AB24" s="159">
        <v>4.5976983372117849E-2</v>
      </c>
      <c r="AC24" s="159">
        <v>89.877339999999975</v>
      </c>
      <c r="AD24" s="159">
        <v>0.60829859767870387</v>
      </c>
      <c r="AE24" s="160">
        <v>453.6</v>
      </c>
      <c r="AF24" s="160">
        <v>82.430576851068977</v>
      </c>
      <c r="AG24" s="140">
        <f t="shared" si="1"/>
        <v>0.77538461538461545</v>
      </c>
      <c r="AH24" s="162">
        <f t="shared" si="2"/>
        <v>1.2746776309258638</v>
      </c>
    </row>
    <row r="25" spans="1:34" x14ac:dyDescent="0.2">
      <c r="A25" s="156" t="s">
        <v>189</v>
      </c>
      <c r="B25" s="157">
        <v>1130</v>
      </c>
      <c r="C25" s="157">
        <v>194</v>
      </c>
      <c r="D25" s="158">
        <f t="shared" si="3"/>
        <v>7.1275837491090517</v>
      </c>
      <c r="E25" s="159" t="s">
        <v>185</v>
      </c>
      <c r="F25" s="159">
        <v>57.89376</v>
      </c>
      <c r="G25" s="159">
        <v>0.33415513313429679</v>
      </c>
      <c r="H25" s="159">
        <v>0.69677999999999995</v>
      </c>
      <c r="I25" s="159">
        <v>2.3198426670789536E-2</v>
      </c>
      <c r="J25" s="159">
        <v>15.26282</v>
      </c>
      <c r="K25" s="159">
        <v>0.30731911265002659</v>
      </c>
      <c r="L25" s="159">
        <v>0.2772</v>
      </c>
      <c r="M25" s="159">
        <v>2.6673113803978712E-2</v>
      </c>
      <c r="N25" s="159">
        <v>3.3901000000000003</v>
      </c>
      <c r="O25" s="159">
        <v>2.9886200829145233E-2</v>
      </c>
      <c r="P25" s="159">
        <v>4.1922600000000001</v>
      </c>
      <c r="Q25" s="159">
        <v>3.7524032299314572E-2</v>
      </c>
      <c r="R25" s="159">
        <v>1.5511399999999997</v>
      </c>
      <c r="S25" s="159">
        <v>5.8004680845600703E-2</v>
      </c>
      <c r="T25" s="159">
        <v>5.0657799999999993</v>
      </c>
      <c r="U25" s="159">
        <v>6.1938735860525916E-2</v>
      </c>
      <c r="V25" s="159">
        <v>88.580500000000015</v>
      </c>
      <c r="W25" s="159">
        <v>0.25044</v>
      </c>
      <c r="X25" s="159">
        <v>6.3990804026828815E-2</v>
      </c>
      <c r="Y25" s="159">
        <v>2.2000000000000074E-4</v>
      </c>
      <c r="Z25" s="159">
        <v>2.4363127878004497E-2</v>
      </c>
      <c r="AA25" s="159">
        <v>0.61108000000000007</v>
      </c>
      <c r="AB25" s="159">
        <v>1.5778846599165605E-2</v>
      </c>
      <c r="AC25" s="159">
        <v>89.191580000000016</v>
      </c>
      <c r="AD25" s="159">
        <v>0.40109735049556633</v>
      </c>
      <c r="AE25" s="160">
        <v>221.33333333333334</v>
      </c>
      <c r="AF25" s="160">
        <v>101.08544240723619</v>
      </c>
      <c r="AG25" s="140">
        <f t="shared" si="1"/>
        <v>0.37834757834757837</v>
      </c>
      <c r="AH25" s="162">
        <f t="shared" si="2"/>
        <v>0.94328117071857986</v>
      </c>
    </row>
    <row r="26" spans="1:34" x14ac:dyDescent="0.2">
      <c r="A26" s="156" t="s">
        <v>190</v>
      </c>
      <c r="B26" s="157">
        <v>1200</v>
      </c>
      <c r="C26" s="157">
        <v>94</v>
      </c>
      <c r="D26" s="158">
        <f t="shared" si="0"/>
        <v>6.7888662593346911</v>
      </c>
      <c r="E26" s="159" t="s">
        <v>89</v>
      </c>
      <c r="F26" s="159">
        <v>55.873239999999996</v>
      </c>
      <c r="G26" s="159">
        <v>0.22818288279360538</v>
      </c>
      <c r="H26" s="159">
        <v>0.48383999999999999</v>
      </c>
      <c r="I26" s="159">
        <v>1.9068639175358049E-2</v>
      </c>
      <c r="J26" s="159">
        <v>9.2923799999999996</v>
      </c>
      <c r="K26" s="159">
        <v>0.26960928581931282</v>
      </c>
      <c r="L26" s="159">
        <v>23.452620000000003</v>
      </c>
      <c r="M26" s="159">
        <v>0.21589482856242836</v>
      </c>
      <c r="N26" s="159">
        <v>0.37746000000000002</v>
      </c>
      <c r="O26" s="159">
        <v>4.5296799003903161E-3</v>
      </c>
      <c r="P26" s="159">
        <v>0.76805999999999996</v>
      </c>
      <c r="Q26" s="159">
        <v>1.9421457205884413E-2</v>
      </c>
      <c r="R26" s="159">
        <v>0.41677999999999998</v>
      </c>
      <c r="S26" s="159">
        <v>8.6820775163551647E-2</v>
      </c>
      <c r="T26" s="159">
        <v>4.6177200000000003</v>
      </c>
      <c r="U26" s="159">
        <v>4.6110215787827313E-2</v>
      </c>
      <c r="V26" s="159">
        <v>95.46296000000001</v>
      </c>
      <c r="W26" s="159">
        <v>0.01</v>
      </c>
      <c r="X26" s="159">
        <v>1.6648183084048539E-2</v>
      </c>
      <c r="Y26" s="159">
        <v>0.19637999999999997</v>
      </c>
      <c r="Z26" s="159">
        <v>2.6067355063373994E-2</v>
      </c>
      <c r="AA26" s="159">
        <v>1.50732</v>
      </c>
      <c r="AB26" s="159">
        <v>2.9194896814340624E-2</v>
      </c>
      <c r="AC26" s="159">
        <v>96.970280000000002</v>
      </c>
      <c r="AD26" s="159">
        <v>0.32428270195992426</v>
      </c>
      <c r="AE26" s="160">
        <v>230.6</v>
      </c>
      <c r="AF26" s="160">
        <v>31.461087075941972</v>
      </c>
      <c r="AG26" s="140">
        <f t="shared" si="1"/>
        <v>0.39418803418803416</v>
      </c>
      <c r="AH26" s="162">
        <f t="shared" si="2"/>
        <v>1.2155691062323424</v>
      </c>
    </row>
    <row r="27" spans="1:34" x14ac:dyDescent="0.2">
      <c r="A27" s="156" t="s">
        <v>191</v>
      </c>
      <c r="B27" s="157">
        <v>1200</v>
      </c>
      <c r="C27" s="157">
        <v>94</v>
      </c>
      <c r="D27" s="158">
        <f t="shared" si="0"/>
        <v>6.7888662593346911</v>
      </c>
      <c r="E27" s="159" t="s">
        <v>89</v>
      </c>
      <c r="F27" s="159">
        <v>36.881680000000003</v>
      </c>
      <c r="G27" s="159">
        <v>9.2016422447301682E-2</v>
      </c>
      <c r="H27" s="159">
        <v>1.7261400000000002</v>
      </c>
      <c r="I27" s="159">
        <v>2.1682089382713994E-2</v>
      </c>
      <c r="J27" s="159">
        <v>8.8168799999999994</v>
      </c>
      <c r="K27" s="159">
        <v>0.1474402150025563</v>
      </c>
      <c r="L27" s="159">
        <v>32.372979999999998</v>
      </c>
      <c r="M27" s="159">
        <v>0.21962869120403922</v>
      </c>
      <c r="N27" s="159">
        <v>2.0665199999999997</v>
      </c>
      <c r="O27" s="159">
        <v>1.5640875934550443E-2</v>
      </c>
      <c r="P27" s="159">
        <v>6.2681399999999998</v>
      </c>
      <c r="Q27" s="159">
        <v>4.9143493974279015E-2</v>
      </c>
      <c r="R27" s="159">
        <v>1.4318399999999998</v>
      </c>
      <c r="S27" s="159">
        <v>4.3419500227432406E-2</v>
      </c>
      <c r="T27" s="159">
        <v>1.0612600000000001</v>
      </c>
      <c r="U27" s="159">
        <v>2.370913326125609E-2</v>
      </c>
      <c r="V27" s="159">
        <v>91.201560000000001</v>
      </c>
      <c r="W27" s="159">
        <v>0.28881999999999997</v>
      </c>
      <c r="X27" s="159">
        <v>2.3196486802962216E-2</v>
      </c>
      <c r="Y27" s="159">
        <v>0.2873</v>
      </c>
      <c r="Z27" s="159">
        <v>2.817507763964458E-2</v>
      </c>
      <c r="AA27" s="159">
        <v>4.1059599999999996</v>
      </c>
      <c r="AB27" s="159">
        <v>7.0897200226807164E-2</v>
      </c>
      <c r="AC27" s="159">
        <v>95.307519999999997</v>
      </c>
      <c r="AD27" s="159">
        <v>0.47853193729033633</v>
      </c>
      <c r="AE27" s="160">
        <v>477.83333333333331</v>
      </c>
      <c r="AF27" s="160">
        <v>129.13778171653195</v>
      </c>
      <c r="AG27" s="140">
        <f t="shared" si="1"/>
        <v>0.81680911680911683</v>
      </c>
      <c r="AH27" s="162">
        <f t="shared" si="2"/>
        <v>1.7069061710577949</v>
      </c>
    </row>
    <row r="28" spans="1:34" x14ac:dyDescent="0.2">
      <c r="A28" s="156" t="s">
        <v>192</v>
      </c>
      <c r="B28" s="157">
        <v>1200</v>
      </c>
      <c r="C28" s="157">
        <v>94</v>
      </c>
      <c r="D28" s="158">
        <f t="shared" si="0"/>
        <v>6.7888662593346911</v>
      </c>
      <c r="E28" s="159" t="s">
        <v>89</v>
      </c>
      <c r="F28" s="159">
        <v>48.310040000000001</v>
      </c>
      <c r="G28" s="159">
        <v>0.25502018155432499</v>
      </c>
      <c r="H28" s="159">
        <v>0.40658000000000005</v>
      </c>
      <c r="I28" s="159">
        <v>1.5530196392834183E-2</v>
      </c>
      <c r="J28" s="159">
        <v>12.57934</v>
      </c>
      <c r="K28" s="159">
        <v>0.20793830334981558</v>
      </c>
      <c r="L28" s="159">
        <v>22.305959999999999</v>
      </c>
      <c r="M28" s="159">
        <v>8.6092700038968989E-2</v>
      </c>
      <c r="N28" s="159">
        <v>2.5261199999999997</v>
      </c>
      <c r="O28" s="159">
        <v>5.8105266542715452E-2</v>
      </c>
      <c r="P28" s="159">
        <v>3.1832000000000003</v>
      </c>
      <c r="Q28" s="159">
        <v>6.2011248979519928E-2</v>
      </c>
      <c r="R28" s="159">
        <v>1.31592</v>
      </c>
      <c r="S28" s="159">
        <v>3.7312424204278161E-2</v>
      </c>
      <c r="T28" s="159">
        <v>4.6273999999999997</v>
      </c>
      <c r="U28" s="159">
        <v>9.497565477531586E-2</v>
      </c>
      <c r="V28" s="159">
        <v>95.539659999999998</v>
      </c>
      <c r="W28" s="159">
        <v>4.0440000000000004E-2</v>
      </c>
      <c r="X28" s="159">
        <v>1.2811440200071165E-2</v>
      </c>
      <c r="Y28" s="159">
        <v>0.24466000000000002</v>
      </c>
      <c r="Z28" s="159">
        <v>2.228661032997167E-2</v>
      </c>
      <c r="AA28" s="159">
        <v>2.3497999999999997</v>
      </c>
      <c r="AB28" s="159">
        <v>5.4293369760957062E-2</v>
      </c>
      <c r="AC28" s="159">
        <v>97.88946</v>
      </c>
      <c r="AD28" s="159">
        <v>0.43637080730572297</v>
      </c>
      <c r="AE28" s="160">
        <v>406.1</v>
      </c>
      <c r="AF28" s="160">
        <v>84.126161870794391</v>
      </c>
      <c r="AG28" s="140">
        <f t="shared" si="1"/>
        <v>0.69418803418803421</v>
      </c>
      <c r="AH28" s="162">
        <f t="shared" si="2"/>
        <v>1.590821435728361</v>
      </c>
    </row>
    <row r="29" spans="1:34" x14ac:dyDescent="0.2">
      <c r="A29" s="156" t="s">
        <v>193</v>
      </c>
      <c r="B29" s="157">
        <v>1200</v>
      </c>
      <c r="C29" s="157">
        <v>96</v>
      </c>
      <c r="D29" s="158">
        <f t="shared" si="0"/>
        <v>6.7888662593346911</v>
      </c>
      <c r="E29" s="159" t="s">
        <v>167</v>
      </c>
      <c r="F29" s="159">
        <v>45.345140000000001</v>
      </c>
      <c r="G29" s="159">
        <v>0.27772416711550402</v>
      </c>
      <c r="H29" s="159">
        <v>2.00366</v>
      </c>
      <c r="I29" s="159">
        <v>3.9678873471911999E-2</v>
      </c>
      <c r="J29" s="159">
        <v>14.397180000000001</v>
      </c>
      <c r="K29" s="159">
        <v>0.18853911265305154</v>
      </c>
      <c r="L29" s="159">
        <v>7.3736999999999995</v>
      </c>
      <c r="M29" s="159">
        <v>4.7432689149994434E-2</v>
      </c>
      <c r="N29" s="159">
        <v>7.8990399999999994</v>
      </c>
      <c r="O29" s="159">
        <v>1.9922801007890435E-2</v>
      </c>
      <c r="P29" s="159">
        <v>9.0560399999999994</v>
      </c>
      <c r="Q29" s="159">
        <v>8.9065217677834263E-2</v>
      </c>
      <c r="R29" s="159">
        <v>1.3447600000000002</v>
      </c>
      <c r="S29" s="159">
        <v>9.1460527004823225E-2</v>
      </c>
      <c r="T29" s="159">
        <v>0.65922000000000003</v>
      </c>
      <c r="U29" s="159">
        <v>1.4199542246143004E-2</v>
      </c>
      <c r="V29" s="159">
        <v>88.716219999999993</v>
      </c>
      <c r="W29" s="159">
        <v>0.59848000000000001</v>
      </c>
      <c r="X29" s="159">
        <v>5.0579066816223504E-2</v>
      </c>
      <c r="Y29" s="159">
        <v>3.9E-2</v>
      </c>
      <c r="Z29" s="159">
        <v>2.2967912399693612E-2</v>
      </c>
      <c r="AA29" s="159">
        <v>2.2759200000000002</v>
      </c>
      <c r="AB29" s="159">
        <v>3.1457065978886249E-2</v>
      </c>
      <c r="AC29" s="159">
        <v>90.992139999999992</v>
      </c>
      <c r="AD29" s="159">
        <v>0.49736145917118479</v>
      </c>
      <c r="AE29" s="160">
        <v>491.28571428571428</v>
      </c>
      <c r="AF29" s="160">
        <v>101.61876611322161</v>
      </c>
      <c r="AG29" s="140">
        <f t="shared" si="1"/>
        <v>0.83980463980463982</v>
      </c>
      <c r="AH29" s="162">
        <f t="shared" si="2"/>
        <v>1.6885197361373971</v>
      </c>
    </row>
    <row r="30" spans="1:34" x14ac:dyDescent="0.2">
      <c r="A30" s="156" t="s">
        <v>194</v>
      </c>
      <c r="B30" s="157">
        <v>1200</v>
      </c>
      <c r="C30" s="157">
        <v>96</v>
      </c>
      <c r="D30" s="158">
        <f t="shared" si="0"/>
        <v>6.7888662593346911</v>
      </c>
      <c r="E30" s="159" t="s">
        <v>167</v>
      </c>
      <c r="F30" s="159">
        <v>67.237940000000009</v>
      </c>
      <c r="G30" s="159">
        <v>0.55145375418071119</v>
      </c>
      <c r="H30" s="159">
        <v>0.66348000000000007</v>
      </c>
      <c r="I30" s="159">
        <v>3.2177740753508488E-2</v>
      </c>
      <c r="J30" s="159">
        <v>11.3012</v>
      </c>
      <c r="K30" s="159">
        <v>0.23067620163337199</v>
      </c>
      <c r="L30" s="159">
        <v>0.62665999999999999</v>
      </c>
      <c r="M30" s="159">
        <v>3.8897724869200269E-2</v>
      </c>
      <c r="N30" s="159">
        <v>0.50503999999999993</v>
      </c>
      <c r="O30" s="159">
        <v>1.5873814916396112E-2</v>
      </c>
      <c r="P30" s="159">
        <v>1.01142</v>
      </c>
      <c r="Q30" s="159">
        <v>4.3703398037223569E-2</v>
      </c>
      <c r="R30" s="159">
        <v>0.50519999999999998</v>
      </c>
      <c r="S30" s="159">
        <v>3.1519041863610021E-2</v>
      </c>
      <c r="T30" s="159">
        <v>5.0824600000000002</v>
      </c>
      <c r="U30" s="159">
        <v>8.4776016655655817E-2</v>
      </c>
      <c r="V30" s="159">
        <v>86.944260000000014</v>
      </c>
      <c r="W30" s="159">
        <v>6.6400000000000001E-3</v>
      </c>
      <c r="X30" s="159">
        <v>1.7619534613604299E-2</v>
      </c>
      <c r="Y30" s="159">
        <v>4.2199999999999998E-3</v>
      </c>
      <c r="Z30" s="159">
        <v>8.6195707549738231E-3</v>
      </c>
      <c r="AA30" s="159">
        <v>0.48834</v>
      </c>
      <c r="AB30" s="159">
        <v>0.13627084427712344</v>
      </c>
      <c r="AC30" s="159">
        <v>87.432600000000008</v>
      </c>
      <c r="AD30" s="159">
        <v>0.29717484132735372</v>
      </c>
      <c r="AE30" s="160">
        <v>152.21434918720701</v>
      </c>
      <c r="AF30" s="160">
        <v>38.103765643179173</v>
      </c>
      <c r="AG30" s="140">
        <f t="shared" si="1"/>
        <v>0.26019546869608035</v>
      </c>
      <c r="AH30" s="162">
        <f t="shared" si="2"/>
        <v>0.87556358248194144</v>
      </c>
    </row>
    <row r="31" spans="1:34" x14ac:dyDescent="0.2">
      <c r="A31" s="156" t="s">
        <v>195</v>
      </c>
      <c r="B31" s="157">
        <v>1200</v>
      </c>
      <c r="C31" s="157">
        <v>96</v>
      </c>
      <c r="D31" s="158">
        <f t="shared" si="0"/>
        <v>6.7888662593346911</v>
      </c>
      <c r="E31" s="159" t="s">
        <v>167</v>
      </c>
      <c r="F31" s="159">
        <v>50.415599999999998</v>
      </c>
      <c r="G31" s="159">
        <v>0.914276694988995</v>
      </c>
      <c r="H31" s="159">
        <v>2.16052</v>
      </c>
      <c r="I31" s="159">
        <v>3.8558358367544565E-2</v>
      </c>
      <c r="J31" s="159">
        <v>11.84634</v>
      </c>
      <c r="K31" s="159">
        <v>0.29214478944523381</v>
      </c>
      <c r="L31" s="159">
        <v>7.809899999999999</v>
      </c>
      <c r="M31" s="159">
        <v>9.0965020749736447E-2</v>
      </c>
      <c r="N31" s="159">
        <v>2.7104800000000004</v>
      </c>
      <c r="O31" s="159">
        <v>3.4311178936317417E-2</v>
      </c>
      <c r="P31" s="159">
        <v>8.3980399999999999</v>
      </c>
      <c r="Q31" s="159">
        <v>0.12930619861398751</v>
      </c>
      <c r="R31" s="159">
        <v>2.3498600000000001</v>
      </c>
      <c r="S31" s="159">
        <v>0.12410927846055678</v>
      </c>
      <c r="T31" s="159">
        <v>1.5820400000000001</v>
      </c>
      <c r="U31" s="159">
        <v>6.3016608921775519E-2</v>
      </c>
      <c r="V31" s="159">
        <v>88.493860000000012</v>
      </c>
      <c r="W31" s="159">
        <v>1.19408</v>
      </c>
      <c r="X31" s="159">
        <v>5.6986945873594624E-2</v>
      </c>
      <c r="Y31" s="159">
        <v>2.7000000000000003E-2</v>
      </c>
      <c r="Z31" s="159">
        <v>1.9633135256499405E-2</v>
      </c>
      <c r="AA31" s="159">
        <v>1.9959</v>
      </c>
      <c r="AB31" s="159">
        <v>6.1887761310294581E-2</v>
      </c>
      <c r="AC31" s="159">
        <v>90.489760000000018</v>
      </c>
      <c r="AD31" s="159">
        <v>0.40578063254574787</v>
      </c>
      <c r="AE31" s="160">
        <v>386.91666666666669</v>
      </c>
      <c r="AF31" s="160">
        <v>97.359183470593123</v>
      </c>
      <c r="AG31" s="140">
        <f t="shared" si="1"/>
        <v>0.66139601139601145</v>
      </c>
      <c r="AH31" s="162">
        <f t="shared" si="2"/>
        <v>1.6299348917828043</v>
      </c>
    </row>
    <row r="32" spans="1:34" x14ac:dyDescent="0.2">
      <c r="A32" s="156" t="s">
        <v>196</v>
      </c>
      <c r="B32" s="157">
        <v>1200</v>
      </c>
      <c r="C32" s="157">
        <v>96</v>
      </c>
      <c r="D32" s="158">
        <f t="shared" si="0"/>
        <v>6.7888662593346911</v>
      </c>
      <c r="E32" s="159" t="s">
        <v>167</v>
      </c>
      <c r="F32" s="159">
        <v>42.17962</v>
      </c>
      <c r="G32" s="159">
        <v>0.98773868609060811</v>
      </c>
      <c r="H32" s="159">
        <v>0.49234</v>
      </c>
      <c r="I32" s="159">
        <v>1.9852783180199181E-2</v>
      </c>
      <c r="J32" s="159">
        <v>20.498480000000001</v>
      </c>
      <c r="K32" s="159">
        <v>0.32584395345011341</v>
      </c>
      <c r="L32" s="159">
        <v>4.7159399999999998</v>
      </c>
      <c r="M32" s="159">
        <v>0.13071299858851071</v>
      </c>
      <c r="N32" s="159">
        <v>5.4385400000000006</v>
      </c>
      <c r="O32" s="159">
        <v>3.7410867405073552E-2</v>
      </c>
      <c r="P32" s="159">
        <v>10.299780000000002</v>
      </c>
      <c r="Q32" s="159">
        <v>8.4337340484508666E-2</v>
      </c>
      <c r="R32" s="159">
        <v>0.34720000000000001</v>
      </c>
      <c r="S32" s="159">
        <v>3.1241398816314218E-2</v>
      </c>
      <c r="T32" s="159">
        <v>1.0522799999999999</v>
      </c>
      <c r="U32" s="159">
        <v>1.8425308681267665E-2</v>
      </c>
      <c r="V32" s="159">
        <v>85.255160000000004</v>
      </c>
      <c r="W32" s="159">
        <v>0.20823999999999998</v>
      </c>
      <c r="X32" s="159">
        <v>4.0227391165722048E-2</v>
      </c>
      <c r="Y32" s="159">
        <v>2.274E-2</v>
      </c>
      <c r="Z32" s="159">
        <v>2.3610230833263787E-2</v>
      </c>
      <c r="AA32" s="159">
        <v>2.05464</v>
      </c>
      <c r="AB32" s="159">
        <v>5.1516288686200964E-2</v>
      </c>
      <c r="AC32" s="159">
        <v>87.30980000000001</v>
      </c>
      <c r="AD32" s="159">
        <v>0.63800241819750114</v>
      </c>
      <c r="AE32" s="160">
        <v>593.25</v>
      </c>
      <c r="AF32" s="160">
        <v>50.39322645680938</v>
      </c>
      <c r="AG32" s="140">
        <f t="shared" si="1"/>
        <v>1.0141025641025641</v>
      </c>
      <c r="AH32" s="162">
        <f t="shared" si="2"/>
        <v>1.5894964269377372</v>
      </c>
    </row>
    <row r="33" spans="1:34" x14ac:dyDescent="0.2">
      <c r="A33" s="156" t="s">
        <v>197</v>
      </c>
      <c r="B33" s="157">
        <v>1200</v>
      </c>
      <c r="C33" s="157">
        <v>96</v>
      </c>
      <c r="D33" s="158">
        <f t="shared" si="0"/>
        <v>6.7888662593346911</v>
      </c>
      <c r="E33" s="159" t="s">
        <v>167</v>
      </c>
      <c r="F33" s="159">
        <v>55.887979999999992</v>
      </c>
      <c r="G33" s="159">
        <v>0.37041953512200249</v>
      </c>
      <c r="H33" s="159">
        <v>0.58662000000000014</v>
      </c>
      <c r="I33" s="159">
        <v>1.2846672720981124E-2</v>
      </c>
      <c r="J33" s="159">
        <v>14.777379999999999</v>
      </c>
      <c r="K33" s="159">
        <v>9.7655962439576458E-2</v>
      </c>
      <c r="L33" s="159">
        <v>3.0165800000000003</v>
      </c>
      <c r="M33" s="159">
        <v>3.1932068520532757E-2</v>
      </c>
      <c r="N33" s="159">
        <v>3.2763000000000004</v>
      </c>
      <c r="O33" s="159">
        <v>4.8015049724018766E-2</v>
      </c>
      <c r="P33" s="159">
        <v>3.9411</v>
      </c>
      <c r="Q33" s="159">
        <v>5.1923742160980536E-2</v>
      </c>
      <c r="R33" s="159">
        <v>1.4790200000000002</v>
      </c>
      <c r="S33" s="159">
        <v>8.9844460040672494E-2</v>
      </c>
      <c r="T33" s="159">
        <v>4.9521200000000007</v>
      </c>
      <c r="U33" s="159">
        <v>6.8936833405662173E-2</v>
      </c>
      <c r="V33" s="159">
        <v>88.156020000000012</v>
      </c>
      <c r="W33" s="159">
        <v>0.21581999999999998</v>
      </c>
      <c r="X33" s="159">
        <v>3.5494253055952552E-2</v>
      </c>
      <c r="Y33" s="159">
        <v>2.3099999999999999E-2</v>
      </c>
      <c r="Z33" s="159">
        <v>1.7375125898824447E-2</v>
      </c>
      <c r="AA33" s="159">
        <v>1.1412800000000001</v>
      </c>
      <c r="AB33" s="159">
        <v>5.6795219869281266E-2</v>
      </c>
      <c r="AC33" s="159">
        <v>89.297300000000007</v>
      </c>
      <c r="AD33" s="159">
        <v>0.40883160906956439</v>
      </c>
      <c r="AE33" s="160">
        <v>422.66666666666669</v>
      </c>
      <c r="AF33" s="160">
        <v>150.38367597581859</v>
      </c>
      <c r="AG33" s="140">
        <f t="shared" si="1"/>
        <v>0.72250712250712257</v>
      </c>
      <c r="AH33" s="162">
        <f t="shared" si="2"/>
        <v>1.7672486825356621</v>
      </c>
    </row>
    <row r="34" spans="1:34" x14ac:dyDescent="0.2">
      <c r="A34" s="156" t="s">
        <v>198</v>
      </c>
      <c r="B34" s="157">
        <v>1200</v>
      </c>
      <c r="C34" s="157">
        <v>150</v>
      </c>
      <c r="D34" s="158">
        <f t="shared" si="0"/>
        <v>6.7888662593346911</v>
      </c>
      <c r="E34" s="159" t="s">
        <v>185</v>
      </c>
      <c r="F34" s="159">
        <v>43.096600000000002</v>
      </c>
      <c r="G34" s="159">
        <v>3.8388502803573901</v>
      </c>
      <c r="H34" s="159">
        <v>2.0476800000000002</v>
      </c>
      <c r="I34" s="159">
        <v>7.3268001201069527E-3</v>
      </c>
      <c r="J34" s="159">
        <v>13.86664</v>
      </c>
      <c r="K34" s="159">
        <v>1.4155005909571354</v>
      </c>
      <c r="L34" s="159">
        <v>3.7703800000000003</v>
      </c>
      <c r="M34" s="159">
        <v>0.28395146064072296</v>
      </c>
      <c r="N34" s="159">
        <v>6.0766200000000001</v>
      </c>
      <c r="O34" s="159">
        <v>0.3965620531518364</v>
      </c>
      <c r="P34" s="159">
        <v>9.2263800000000007</v>
      </c>
      <c r="Q34" s="159">
        <v>0.37611761724226589</v>
      </c>
      <c r="R34" s="159">
        <v>1.4789400000000001</v>
      </c>
      <c r="S34" s="159">
        <v>0.14406362483291887</v>
      </c>
      <c r="T34" s="159">
        <v>0.66923999999999995</v>
      </c>
      <c r="U34" s="159">
        <v>4.9350460990754672E-2</v>
      </c>
      <c r="V34" s="159">
        <v>80.842240000000018</v>
      </c>
      <c r="W34" s="159">
        <v>0.6053599999999999</v>
      </c>
      <c r="X34" s="159">
        <v>3.6669033256959471E-2</v>
      </c>
      <c r="Y34" s="159">
        <v>4.3999999999999994E-3</v>
      </c>
      <c r="Z34" s="159">
        <v>1.5556349186104044E-2</v>
      </c>
      <c r="AA34" s="159">
        <v>0.55506</v>
      </c>
      <c r="AB34" s="159">
        <v>4.1318918185257472E-2</v>
      </c>
      <c r="AC34" s="159">
        <v>81.397300000000016</v>
      </c>
      <c r="AD34" s="159">
        <v>0.5135784234943398</v>
      </c>
      <c r="AE34" s="160">
        <v>384.57142857142856</v>
      </c>
      <c r="AF34" s="160">
        <v>29.697683090644983</v>
      </c>
      <c r="AG34" s="140">
        <f t="shared" si="1"/>
        <v>0.65738705738705738</v>
      </c>
      <c r="AH34" s="162">
        <f t="shared" si="2"/>
        <v>1.2800129976533223</v>
      </c>
    </row>
    <row r="35" spans="1:34" x14ac:dyDescent="0.2">
      <c r="A35" s="156" t="s">
        <v>199</v>
      </c>
      <c r="B35" s="157">
        <v>1200</v>
      </c>
      <c r="C35" s="157">
        <v>150</v>
      </c>
      <c r="D35" s="158">
        <f t="shared" si="0"/>
        <v>6.7888662593346911</v>
      </c>
      <c r="E35" s="159" t="s">
        <v>185</v>
      </c>
      <c r="F35" s="159">
        <v>44.253520000000002</v>
      </c>
      <c r="G35" s="159">
        <v>0.32819999999999999</v>
      </c>
      <c r="H35" s="159">
        <v>0.54255999999999993</v>
      </c>
      <c r="I35" s="159">
        <v>4.2099999999999999E-2</v>
      </c>
      <c r="J35" s="159">
        <v>21.085519999999999</v>
      </c>
      <c r="K35" s="159">
        <v>0.39391999999999999</v>
      </c>
      <c r="L35" s="159">
        <v>1.3689399999999998</v>
      </c>
      <c r="M35" s="159">
        <v>9.9979999999999986E-2</v>
      </c>
      <c r="N35" s="159">
        <v>5.4850000000000003</v>
      </c>
      <c r="O35" s="159">
        <v>7.7399999999999997E-2</v>
      </c>
      <c r="P35" s="159">
        <v>11.1877</v>
      </c>
      <c r="Q35" s="159">
        <v>0.20316000000000001</v>
      </c>
      <c r="R35" s="159">
        <v>0.37966</v>
      </c>
      <c r="S35" s="159">
        <v>8.0119999999999997E-2</v>
      </c>
      <c r="T35" s="159">
        <v>1.1127600000000002</v>
      </c>
      <c r="U35" s="159">
        <v>7.3520000000000002E-2</v>
      </c>
      <c r="V35" s="159">
        <v>85.614839999999987</v>
      </c>
      <c r="W35" s="159">
        <v>0.19456000000000001</v>
      </c>
      <c r="X35" s="159">
        <v>4.9000000000000002E-2</v>
      </c>
      <c r="Y35" s="159">
        <v>4.6199999999999991E-3</v>
      </c>
      <c r="Z35" s="159">
        <v>4.2100000000000005E-2</v>
      </c>
      <c r="AA35" s="159">
        <v>0.42103999999999997</v>
      </c>
      <c r="AB35" s="159">
        <v>7.9540000000000013E-2</v>
      </c>
      <c r="AC35" s="159">
        <v>86.035879999999992</v>
      </c>
      <c r="AD35" s="159">
        <v>0.61674905875134745</v>
      </c>
      <c r="AE35" s="160">
        <v>456</v>
      </c>
      <c r="AF35" s="160">
        <v>64.791974811700257</v>
      </c>
      <c r="AG35" s="140">
        <f t="shared" si="1"/>
        <v>0.77948717948717949</v>
      </c>
      <c r="AH35" s="162">
        <f t="shared" si="2"/>
        <v>1.2638644006450646</v>
      </c>
    </row>
    <row r="36" spans="1:34" x14ac:dyDescent="0.2">
      <c r="A36" s="156" t="s">
        <v>200</v>
      </c>
      <c r="B36" s="157">
        <v>1200</v>
      </c>
      <c r="C36" s="157">
        <v>150</v>
      </c>
      <c r="D36" s="158">
        <f t="shared" si="0"/>
        <v>6.7888662593346911</v>
      </c>
      <c r="E36" s="159" t="s">
        <v>185</v>
      </c>
      <c r="F36" s="159">
        <v>59.023000000000003</v>
      </c>
      <c r="G36" s="159">
        <v>0.97131661418921389</v>
      </c>
      <c r="H36" s="159">
        <v>0.59738000000000002</v>
      </c>
      <c r="I36" s="159">
        <v>2.2965343454866956E-2</v>
      </c>
      <c r="J36" s="159">
        <v>15.386860000000002</v>
      </c>
      <c r="K36" s="159">
        <v>7.9712941232900875E-2</v>
      </c>
      <c r="L36" s="159">
        <v>0.46172000000000002</v>
      </c>
      <c r="M36" s="159">
        <v>3.7027516794945897E-2</v>
      </c>
      <c r="N36" s="159">
        <v>3.32986</v>
      </c>
      <c r="O36" s="159">
        <v>2.2999521734157851E-2</v>
      </c>
      <c r="P36" s="159">
        <v>4.1492400000000007</v>
      </c>
      <c r="Q36" s="159">
        <v>5.0014028032142915E-2</v>
      </c>
      <c r="R36" s="159">
        <v>1.5354800000000002</v>
      </c>
      <c r="S36" s="159">
        <v>4.3918868382507324E-2</v>
      </c>
      <c r="T36" s="159">
        <v>5.1049800000000003</v>
      </c>
      <c r="U36" s="159">
        <v>4.3922625149232536E-2</v>
      </c>
      <c r="V36" s="159">
        <v>89.846040000000016</v>
      </c>
      <c r="W36" s="159">
        <v>0.25507999999999997</v>
      </c>
      <c r="X36" s="159">
        <v>2.953281226026418E-2</v>
      </c>
      <c r="Y36" s="159">
        <v>2.4399999999999999E-3</v>
      </c>
      <c r="Z36" s="159">
        <v>8.4304804133572362E-3</v>
      </c>
      <c r="AA36" s="159">
        <v>0.24588000000000002</v>
      </c>
      <c r="AB36" s="159">
        <v>1.8831011656307791E-2</v>
      </c>
      <c r="AC36" s="159">
        <v>90.091920000000016</v>
      </c>
      <c r="AD36" s="159">
        <v>0.39501890395186257</v>
      </c>
      <c r="AE36" s="160">
        <v>197.83333333333334</v>
      </c>
      <c r="AF36" s="160">
        <v>50.411969478157353</v>
      </c>
      <c r="AG36" s="140">
        <f t="shared" si="1"/>
        <v>0.33817663817663818</v>
      </c>
      <c r="AH36" s="162">
        <f t="shared" si="2"/>
        <v>0.85610241634878503</v>
      </c>
    </row>
    <row r="37" spans="1:34" x14ac:dyDescent="0.2">
      <c r="A37" s="156" t="s">
        <v>201</v>
      </c>
      <c r="B37" s="157">
        <v>1300</v>
      </c>
      <c r="C37" s="157">
        <v>96</v>
      </c>
      <c r="D37" s="158">
        <f t="shared" si="0"/>
        <v>6.3572790845518119</v>
      </c>
      <c r="E37" s="104" t="s">
        <v>167</v>
      </c>
      <c r="F37" s="159">
        <v>65.636799999999994</v>
      </c>
      <c r="G37" s="159">
        <v>0.22710135402502607</v>
      </c>
      <c r="H37" s="159">
        <v>0.64139999999999997</v>
      </c>
      <c r="I37" s="159">
        <v>2.0817900950864405E-2</v>
      </c>
      <c r="J37" s="159">
        <v>11.0397</v>
      </c>
      <c r="K37" s="159">
        <v>9.6186771439735752E-2</v>
      </c>
      <c r="L37" s="159">
        <v>12.47418</v>
      </c>
      <c r="M37" s="159">
        <v>0.12259541997970354</v>
      </c>
      <c r="N37" s="159">
        <v>0.80127999999999999</v>
      </c>
      <c r="O37" s="159">
        <v>2.4325233811825928E-2</v>
      </c>
      <c r="P37" s="159">
        <v>1.0135999999999998</v>
      </c>
      <c r="Q37" s="159">
        <v>3.0856117707838755E-2</v>
      </c>
      <c r="R37" s="159">
        <v>0.44369999999999993</v>
      </c>
      <c r="S37" s="159">
        <v>1.8254999315256079E-2</v>
      </c>
      <c r="T37" s="159">
        <v>5.0471400000000006</v>
      </c>
      <c r="U37" s="159">
        <v>0.12155465026069544</v>
      </c>
      <c r="V37" s="159">
        <v>97.774540000000002</v>
      </c>
      <c r="W37" s="159">
        <v>1.2920000000000001E-2</v>
      </c>
      <c r="X37" s="159">
        <v>2.626769879528848E-2</v>
      </c>
      <c r="Y37" s="159">
        <v>0.66381999999999997</v>
      </c>
      <c r="Z37" s="159">
        <v>1.5549823150119756E-2</v>
      </c>
      <c r="AA37" s="159">
        <v>1.7948200000000001</v>
      </c>
      <c r="AB37" s="159">
        <v>8.1856135994804888E-2</v>
      </c>
      <c r="AC37" s="159">
        <v>99.569360000000003</v>
      </c>
      <c r="AD37" s="159">
        <v>0.3008814369880658</v>
      </c>
      <c r="AE37" s="160">
        <v>202.25</v>
      </c>
      <c r="AF37" s="160">
        <v>45.353410215570541</v>
      </c>
      <c r="AG37" s="140">
        <f t="shared" si="1"/>
        <v>0.34572649572649572</v>
      </c>
      <c r="AH37" s="162">
        <f t="shared" si="2"/>
        <v>1.1490456147356432</v>
      </c>
    </row>
    <row r="38" spans="1:34" x14ac:dyDescent="0.2">
      <c r="A38" s="156" t="s">
        <v>202</v>
      </c>
      <c r="B38" s="157">
        <v>1300</v>
      </c>
      <c r="C38" s="157">
        <v>96</v>
      </c>
      <c r="D38" s="158">
        <f t="shared" si="0"/>
        <v>6.3572790845518119</v>
      </c>
      <c r="E38" s="104" t="s">
        <v>167</v>
      </c>
      <c r="F38" s="159">
        <v>47.525019999999998</v>
      </c>
      <c r="G38" s="159">
        <v>0.11305254088254649</v>
      </c>
      <c r="H38" s="159">
        <v>2.0541600000000004</v>
      </c>
      <c r="I38" s="159">
        <v>3.6511203759941817E-2</v>
      </c>
      <c r="J38" s="159">
        <v>11.40986</v>
      </c>
      <c r="K38" s="159">
        <v>9.8146869537444101E-2</v>
      </c>
      <c r="L38" s="159">
        <v>18.73996</v>
      </c>
      <c r="M38" s="159">
        <v>0.15972400570984935</v>
      </c>
      <c r="N38" s="159">
        <v>2.6387</v>
      </c>
      <c r="O38" s="159">
        <v>3.2900987827115466E-2</v>
      </c>
      <c r="P38" s="159">
        <v>7.8971599999999995</v>
      </c>
      <c r="Q38" s="159">
        <v>7.9336769533426207E-2</v>
      </c>
      <c r="R38" s="159">
        <v>1.8200399999999999</v>
      </c>
      <c r="S38" s="159">
        <v>5.0983360030504028E-2</v>
      </c>
      <c r="T38" s="159">
        <v>1.28912</v>
      </c>
      <c r="U38" s="159">
        <v>4.098453366820224E-2</v>
      </c>
      <c r="V38" s="159">
        <v>94.680579999999992</v>
      </c>
      <c r="W38" s="159">
        <v>0.68728</v>
      </c>
      <c r="X38" s="159">
        <v>6.0279075971683589E-2</v>
      </c>
      <c r="Y38" s="159">
        <v>0.61928000000000005</v>
      </c>
      <c r="Z38" s="159">
        <v>2.7727188822525801E-2</v>
      </c>
      <c r="AA38" s="159">
        <v>4.5458200000000009</v>
      </c>
      <c r="AB38" s="159">
        <v>4.9396831882217059E-2</v>
      </c>
      <c r="AC38" s="159">
        <v>99.226399999999998</v>
      </c>
      <c r="AD38" s="159">
        <v>0.42245651094062348</v>
      </c>
      <c r="AE38" s="160">
        <v>485.5</v>
      </c>
      <c r="AF38" s="160">
        <v>47.865884063107593</v>
      </c>
      <c r="AG38" s="140">
        <f t="shared" si="1"/>
        <v>0.82991452991452996</v>
      </c>
      <c r="AH38" s="162">
        <f t="shared" si="2"/>
        <v>1.9644969563060539</v>
      </c>
    </row>
    <row r="39" spans="1:34" x14ac:dyDescent="0.2">
      <c r="A39" s="156" t="s">
        <v>203</v>
      </c>
      <c r="B39" s="157">
        <v>1300</v>
      </c>
      <c r="C39" s="157">
        <v>150</v>
      </c>
      <c r="D39" s="158">
        <f t="shared" si="0"/>
        <v>6.3572790845518119</v>
      </c>
      <c r="E39" s="104" t="s">
        <v>167</v>
      </c>
      <c r="F39" s="159">
        <v>39.053020000000004</v>
      </c>
      <c r="G39" s="159">
        <v>4.8405884763115044</v>
      </c>
      <c r="H39" s="159">
        <v>0.44238</v>
      </c>
      <c r="I39" s="159">
        <v>3.5858639126436463E-2</v>
      </c>
      <c r="J39" s="159">
        <v>18.602399999999999</v>
      </c>
      <c r="K39" s="159">
        <v>2.3495870541437749</v>
      </c>
      <c r="L39" s="159">
        <v>11.339760000000002</v>
      </c>
      <c r="M39" s="159">
        <v>0.60283125582537633</v>
      </c>
      <c r="N39" s="159">
        <v>5.0817600000000001</v>
      </c>
      <c r="O39" s="159">
        <v>0.30284030114897198</v>
      </c>
      <c r="P39" s="159">
        <v>9.57</v>
      </c>
      <c r="Q39" s="159">
        <v>0.9820874400988947</v>
      </c>
      <c r="R39" s="159">
        <v>0.34283999999999998</v>
      </c>
      <c r="S39" s="159">
        <v>3.5279852607401851E-2</v>
      </c>
      <c r="T39" s="159">
        <v>0.97924000000000011</v>
      </c>
      <c r="U39" s="159">
        <v>6.5502465602448878E-2</v>
      </c>
      <c r="V39" s="159">
        <v>86.103480000000019</v>
      </c>
      <c r="W39" s="159">
        <v>5.2000000000000005E-2</v>
      </c>
      <c r="X39" s="159">
        <v>1.1361998063720995E-2</v>
      </c>
      <c r="Y39" s="159">
        <v>0.64007999999999998</v>
      </c>
      <c r="Z39" s="159">
        <v>4.6324097400812912E-2</v>
      </c>
      <c r="AA39" s="159">
        <v>5.2782399999999994</v>
      </c>
      <c r="AB39" s="159">
        <v>9.2213111865938155E-2</v>
      </c>
      <c r="AC39" s="159">
        <v>91.381720000000016</v>
      </c>
      <c r="AD39" s="159">
        <v>0.65643846889617563</v>
      </c>
      <c r="AE39" s="160">
        <v>508</v>
      </c>
      <c r="AF39" s="160">
        <v>77.840863304565161</v>
      </c>
      <c r="AG39" s="140">
        <f t="shared" si="1"/>
        <v>0.8683760683760684</v>
      </c>
      <c r="AH39" s="162">
        <f t="shared" si="2"/>
        <v>1.3228598102062381</v>
      </c>
    </row>
    <row r="40" spans="1:34" x14ac:dyDescent="0.2">
      <c r="A40" s="156" t="s">
        <v>204</v>
      </c>
      <c r="B40" s="157">
        <v>1300</v>
      </c>
      <c r="C40" s="157">
        <v>150</v>
      </c>
      <c r="D40" s="158">
        <f t="shared" si="0"/>
        <v>6.3572790845518119</v>
      </c>
      <c r="E40" s="104" t="s">
        <v>167</v>
      </c>
      <c r="F40" s="159">
        <v>55.292859999999997</v>
      </c>
      <c r="G40" s="159">
        <v>0.33665848125362902</v>
      </c>
      <c r="H40" s="159">
        <v>0.56928000000000001</v>
      </c>
      <c r="I40" s="159">
        <v>3.5732156386090098E-2</v>
      </c>
      <c r="J40" s="159">
        <v>14.36552</v>
      </c>
      <c r="K40" s="159">
        <v>0.21171219142978084</v>
      </c>
      <c r="L40" s="159">
        <v>11.42324</v>
      </c>
      <c r="M40" s="159">
        <v>6.8209588768735729E-2</v>
      </c>
      <c r="N40" s="159">
        <v>3.1554200000000003</v>
      </c>
      <c r="O40" s="159">
        <v>2.597897226604623E-2</v>
      </c>
      <c r="P40" s="159">
        <v>3.8726399999999996</v>
      </c>
      <c r="Q40" s="159">
        <v>4.4431835433616618E-2</v>
      </c>
      <c r="R40" s="159">
        <v>1.3669</v>
      </c>
      <c r="S40" s="159">
        <v>6.9551096324932254E-2</v>
      </c>
      <c r="T40" s="159">
        <v>4.7681399999999998</v>
      </c>
      <c r="U40" s="159">
        <v>4.9422343125351542E-2</v>
      </c>
      <c r="V40" s="159">
        <v>95.692520000000016</v>
      </c>
      <c r="W40" s="159">
        <v>6.0679999999999998E-2</v>
      </c>
      <c r="X40" s="159">
        <v>2.0699323660448427E-2</v>
      </c>
      <c r="Y40" s="159">
        <v>0.81784000000000001</v>
      </c>
      <c r="Z40" s="159">
        <v>2.9527326326641894E-2</v>
      </c>
      <c r="AA40" s="159">
        <v>2.8296999999999999</v>
      </c>
      <c r="AB40" s="159">
        <v>5.1980188533709649E-2</v>
      </c>
      <c r="AC40" s="159">
        <v>98.522220000000019</v>
      </c>
      <c r="AD40" s="159">
        <v>0.40743260408618481</v>
      </c>
      <c r="AE40" s="160">
        <v>369.3</v>
      </c>
      <c r="AF40" s="160">
        <v>104.80675338715328</v>
      </c>
      <c r="AG40" s="140">
        <f t="shared" si="1"/>
        <v>0.63128205128205128</v>
      </c>
      <c r="AH40" s="162">
        <f t="shared" si="2"/>
        <v>1.5494146638017101</v>
      </c>
    </row>
    <row r="41" spans="1:34" s="1" customFormat="1" x14ac:dyDescent="0.2">
      <c r="A41" s="53" t="s">
        <v>223</v>
      </c>
      <c r="B41" s="3">
        <v>1200</v>
      </c>
      <c r="C41" s="30">
        <v>70</v>
      </c>
      <c r="D41" s="57">
        <f t="shared" si="0"/>
        <v>6.7888662593346911</v>
      </c>
      <c r="E41" s="1" t="s">
        <v>224</v>
      </c>
      <c r="F41" s="161">
        <v>42.79219953356715</v>
      </c>
      <c r="G41" s="161">
        <v>0.63804702021089343</v>
      </c>
      <c r="H41" s="161">
        <v>2.1790585580880353</v>
      </c>
      <c r="I41" s="161">
        <v>2.1790585580880353</v>
      </c>
      <c r="J41" s="161">
        <v>13.142720332073234</v>
      </c>
      <c r="K41" s="161">
        <v>0.23711600536446292</v>
      </c>
      <c r="L41" s="161">
        <v>16.420750577491269</v>
      </c>
      <c r="M41" s="161">
        <v>0.25593749236874241</v>
      </c>
      <c r="N41" s="161">
        <v>6.8254643242131241</v>
      </c>
      <c r="O41" s="161">
        <v>0.11568923891183669</v>
      </c>
      <c r="P41" s="161">
        <v>8.9325345975348043</v>
      </c>
      <c r="Q41" s="161">
        <v>0.13994284547628735</v>
      </c>
      <c r="R41" s="161">
        <v>1.2832684376046664</v>
      </c>
      <c r="S41" s="161">
        <v>3.429285639896449E-2</v>
      </c>
      <c r="T41" s="161">
        <v>0.56618829974704787</v>
      </c>
      <c r="U41" s="161">
        <v>2.0976176963403023E-2</v>
      </c>
      <c r="V41" s="161">
        <v>92.142184660319344</v>
      </c>
      <c r="W41" s="161">
        <v>0.31145524193548391</v>
      </c>
      <c r="X41" s="161">
        <v>2.1263544846388399E-2</v>
      </c>
      <c r="Y41" s="161">
        <v>1E-3</v>
      </c>
      <c r="Z41" s="161">
        <v>1E-3</v>
      </c>
      <c r="AA41" s="161">
        <v>1.6191029653584741</v>
      </c>
      <c r="AB41" s="161">
        <v>1.0824289926214238E-2</v>
      </c>
      <c r="AC41" s="161">
        <v>94.072742867613314</v>
      </c>
      <c r="AD41" s="161">
        <v>0.50354951463773467</v>
      </c>
      <c r="AE41" s="55">
        <v>549.16666666666663</v>
      </c>
      <c r="AF41" s="55">
        <v>81.103431904369188</v>
      </c>
      <c r="AG41" s="140">
        <f t="shared" si="1"/>
        <v>0.93874643874643871</v>
      </c>
      <c r="AH41" s="162">
        <f t="shared" si="2"/>
        <v>1.8642584521639245</v>
      </c>
    </row>
    <row r="42" spans="1:34" s="1" customFormat="1" x14ac:dyDescent="0.2">
      <c r="A42" s="53" t="s">
        <v>268</v>
      </c>
      <c r="B42" s="3">
        <v>1250</v>
      </c>
      <c r="C42" s="30">
        <v>24</v>
      </c>
      <c r="D42" s="57">
        <f t="shared" si="0"/>
        <v>6.5659881812212735</v>
      </c>
      <c r="E42" s="1" t="s">
        <v>224</v>
      </c>
      <c r="F42" s="161">
        <v>46.445922629114669</v>
      </c>
      <c r="G42" s="161">
        <v>0.67995293954802438</v>
      </c>
      <c r="H42" s="161">
        <v>1.5917472162450124</v>
      </c>
      <c r="I42" s="161">
        <v>7.391887445030533E-2</v>
      </c>
      <c r="J42" s="161">
        <v>13.482813727670299</v>
      </c>
      <c r="K42" s="161">
        <v>0.22703303724348128</v>
      </c>
      <c r="L42" s="161">
        <v>16.768102712865968</v>
      </c>
      <c r="M42" s="161">
        <v>0.23762154784446632</v>
      </c>
      <c r="N42" s="161">
        <v>7.2400333429335522</v>
      </c>
      <c r="O42" s="161">
        <v>0.1307822617941744</v>
      </c>
      <c r="P42" s="161">
        <v>10.074287140076848</v>
      </c>
      <c r="Q42" s="161">
        <v>0.12441864811996614</v>
      </c>
      <c r="R42" s="161">
        <v>1.1835185800597658</v>
      </c>
      <c r="S42" s="161">
        <v>5.1146847410177672E-2</v>
      </c>
      <c r="T42" s="161">
        <v>0.59028141888522012</v>
      </c>
      <c r="U42" s="161">
        <v>3.3466401061363039E-2</v>
      </c>
      <c r="V42" s="161">
        <v>97.376706767851346</v>
      </c>
      <c r="W42" s="161">
        <v>0.39719919354838712</v>
      </c>
      <c r="X42" s="161">
        <v>2.36942461696085E-2</v>
      </c>
      <c r="Y42" s="161">
        <v>1E-3</v>
      </c>
      <c r="Z42" s="161">
        <v>1E-3</v>
      </c>
      <c r="AA42" s="161">
        <v>2.1229514634948479</v>
      </c>
      <c r="AB42" s="161">
        <v>3.1592494139877338E-2</v>
      </c>
      <c r="AC42" s="161">
        <v>99.896857424894577</v>
      </c>
      <c r="AD42" s="161">
        <v>0.46990149990483171</v>
      </c>
      <c r="AE42" s="55">
        <v>492.21429000000001</v>
      </c>
      <c r="AF42" s="55">
        <v>54.311320000000002</v>
      </c>
      <c r="AG42" s="140">
        <f t="shared" si="1"/>
        <v>0.84139194871794876</v>
      </c>
      <c r="AH42" s="162">
        <f t="shared" si="2"/>
        <v>1.7905708938753213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F8FC-7505-974A-991C-39406C4D893C}">
  <dimension ref="A1:I387"/>
  <sheetViews>
    <sheetView tabSelected="1" topLeftCell="A5" workbookViewId="0">
      <selection activeCell="I6" sqref="I6"/>
    </sheetView>
  </sheetViews>
  <sheetFormatPr baseColWidth="10" defaultColWidth="11" defaultRowHeight="16" x14ac:dyDescent="0.2"/>
  <cols>
    <col min="1" max="1" width="12.33203125" customWidth="1"/>
    <col min="3" max="3" width="11.6640625" bestFit="1" customWidth="1"/>
  </cols>
  <sheetData>
    <row r="1" spans="1:9" x14ac:dyDescent="0.2">
      <c r="A1" s="110" t="s">
        <v>244</v>
      </c>
    </row>
    <row r="2" spans="1:9" x14ac:dyDescent="0.2">
      <c r="I2" s="95"/>
    </row>
    <row r="3" spans="1:9" x14ac:dyDescent="0.2">
      <c r="A3" s="121" t="s">
        <v>216</v>
      </c>
      <c r="B3" s="116"/>
      <c r="C3" s="117"/>
      <c r="D3" s="122" t="s">
        <v>219</v>
      </c>
      <c r="E3" s="126"/>
      <c r="F3" s="123"/>
      <c r="I3" s="95"/>
    </row>
    <row r="4" spans="1:9" x14ac:dyDescent="0.2">
      <c r="A4" s="118" t="s">
        <v>218</v>
      </c>
      <c r="B4" s="119"/>
      <c r="C4" s="120"/>
      <c r="D4" s="124" t="s">
        <v>220</v>
      </c>
      <c r="E4" s="127"/>
      <c r="F4" s="125"/>
    </row>
    <row r="5" spans="1:9" ht="34" x14ac:dyDescent="0.2">
      <c r="A5" s="131" t="s">
        <v>161</v>
      </c>
      <c r="B5" s="132" t="s">
        <v>162</v>
      </c>
      <c r="C5" s="128" t="s">
        <v>217</v>
      </c>
      <c r="D5" s="133" t="s">
        <v>83</v>
      </c>
      <c r="E5" s="134" t="s">
        <v>221</v>
      </c>
      <c r="F5" s="135" t="s">
        <v>222</v>
      </c>
    </row>
    <row r="6" spans="1:9" x14ac:dyDescent="0.2">
      <c r="A6" s="87">
        <v>77.841300000000004</v>
      </c>
      <c r="B6" s="87">
        <v>12.1287</v>
      </c>
      <c r="C6" s="41">
        <f>((B6/(101.96))^0.5)/(A6/60.08)</f>
        <v>0.26620245557749561</v>
      </c>
      <c r="D6" s="68">
        <v>4.6389896446089951</v>
      </c>
      <c r="E6" s="129">
        <f>D6/585</f>
        <v>7.9298968283914445E-3</v>
      </c>
      <c r="F6" s="130">
        <f>(D6+362)/1417</f>
        <v>0.2587431119580868</v>
      </c>
    </row>
    <row r="7" spans="1:9" x14ac:dyDescent="0.2">
      <c r="A7" s="111"/>
      <c r="C7" s="41" t="e">
        <f t="shared" ref="C7:C42" si="0">((B7/(101.96))^0.5)/(A7/60.08)</f>
        <v>#DIV/0!</v>
      </c>
      <c r="D7" s="111"/>
      <c r="E7">
        <f t="shared" ref="E7:E42" si="1">D7/585</f>
        <v>0</v>
      </c>
      <c r="F7" s="112">
        <f t="shared" ref="F7:F42" si="2">D7/1417</f>
        <v>0</v>
      </c>
    </row>
    <row r="8" spans="1:9" x14ac:dyDescent="0.2">
      <c r="A8" s="111"/>
      <c r="C8" s="41" t="e">
        <f t="shared" si="0"/>
        <v>#DIV/0!</v>
      </c>
      <c r="D8" s="111"/>
      <c r="E8">
        <f t="shared" si="1"/>
        <v>0</v>
      </c>
      <c r="F8" s="112">
        <f t="shared" si="2"/>
        <v>0</v>
      </c>
    </row>
    <row r="9" spans="1:9" x14ac:dyDescent="0.2">
      <c r="A9" s="111"/>
      <c r="C9" s="41" t="e">
        <f t="shared" si="0"/>
        <v>#DIV/0!</v>
      </c>
      <c r="D9" s="111"/>
      <c r="E9">
        <f t="shared" si="1"/>
        <v>0</v>
      </c>
      <c r="F9" s="112">
        <f t="shared" si="2"/>
        <v>0</v>
      </c>
    </row>
    <row r="10" spans="1:9" x14ac:dyDescent="0.2">
      <c r="A10" s="111"/>
      <c r="C10" s="41" t="e">
        <f t="shared" si="0"/>
        <v>#DIV/0!</v>
      </c>
      <c r="D10" s="111"/>
      <c r="E10">
        <f t="shared" si="1"/>
        <v>0</v>
      </c>
      <c r="F10" s="112">
        <f t="shared" si="2"/>
        <v>0</v>
      </c>
    </row>
    <row r="11" spans="1:9" x14ac:dyDescent="0.2">
      <c r="A11" s="111"/>
      <c r="C11" s="41" t="e">
        <f t="shared" si="0"/>
        <v>#DIV/0!</v>
      </c>
      <c r="D11" s="111"/>
      <c r="E11">
        <f t="shared" si="1"/>
        <v>0</v>
      </c>
      <c r="F11" s="112">
        <f t="shared" si="2"/>
        <v>0</v>
      </c>
    </row>
    <row r="12" spans="1:9" x14ac:dyDescent="0.2">
      <c r="A12" s="111"/>
      <c r="C12" s="41" t="e">
        <f t="shared" si="0"/>
        <v>#DIV/0!</v>
      </c>
      <c r="D12" s="111"/>
      <c r="E12">
        <f t="shared" si="1"/>
        <v>0</v>
      </c>
      <c r="F12" s="112">
        <f t="shared" si="2"/>
        <v>0</v>
      </c>
    </row>
    <row r="13" spans="1:9" x14ac:dyDescent="0.2">
      <c r="A13" s="111"/>
      <c r="C13" s="41" t="e">
        <f t="shared" si="0"/>
        <v>#DIV/0!</v>
      </c>
      <c r="D13" s="111"/>
      <c r="E13">
        <f t="shared" si="1"/>
        <v>0</v>
      </c>
      <c r="F13" s="112">
        <f t="shared" si="2"/>
        <v>0</v>
      </c>
    </row>
    <row r="14" spans="1:9" x14ac:dyDescent="0.2">
      <c r="A14" s="111"/>
      <c r="C14" s="41" t="e">
        <f t="shared" si="0"/>
        <v>#DIV/0!</v>
      </c>
      <c r="D14" s="111"/>
      <c r="E14">
        <f t="shared" si="1"/>
        <v>0</v>
      </c>
      <c r="F14" s="112">
        <f t="shared" si="2"/>
        <v>0</v>
      </c>
    </row>
    <row r="15" spans="1:9" x14ac:dyDescent="0.2">
      <c r="A15" s="111"/>
      <c r="C15" s="41" t="e">
        <f t="shared" si="0"/>
        <v>#DIV/0!</v>
      </c>
      <c r="D15" s="111"/>
      <c r="E15">
        <f t="shared" si="1"/>
        <v>0</v>
      </c>
      <c r="F15" s="112">
        <f t="shared" si="2"/>
        <v>0</v>
      </c>
    </row>
    <row r="16" spans="1:9" x14ac:dyDescent="0.2">
      <c r="A16" s="111"/>
      <c r="C16" s="41" t="e">
        <f t="shared" si="0"/>
        <v>#DIV/0!</v>
      </c>
      <c r="D16" s="111"/>
      <c r="E16">
        <f t="shared" si="1"/>
        <v>0</v>
      </c>
      <c r="F16" s="112">
        <f t="shared" si="2"/>
        <v>0</v>
      </c>
    </row>
    <row r="17" spans="1:6" x14ac:dyDescent="0.2">
      <c r="A17" s="111"/>
      <c r="C17" s="41" t="e">
        <f t="shared" si="0"/>
        <v>#DIV/0!</v>
      </c>
      <c r="D17" s="111"/>
      <c r="E17">
        <f t="shared" si="1"/>
        <v>0</v>
      </c>
      <c r="F17" s="112">
        <f t="shared" si="2"/>
        <v>0</v>
      </c>
    </row>
    <row r="18" spans="1:6" x14ac:dyDescent="0.2">
      <c r="A18" s="111"/>
      <c r="C18" s="41" t="e">
        <f t="shared" si="0"/>
        <v>#DIV/0!</v>
      </c>
      <c r="D18" s="111"/>
      <c r="E18">
        <f t="shared" si="1"/>
        <v>0</v>
      </c>
      <c r="F18" s="112">
        <f t="shared" si="2"/>
        <v>0</v>
      </c>
    </row>
    <row r="19" spans="1:6" x14ac:dyDescent="0.2">
      <c r="A19" s="111"/>
      <c r="C19" s="41" t="e">
        <f t="shared" si="0"/>
        <v>#DIV/0!</v>
      </c>
      <c r="D19" s="111"/>
      <c r="E19">
        <f t="shared" si="1"/>
        <v>0</v>
      </c>
      <c r="F19" s="112">
        <f t="shared" si="2"/>
        <v>0</v>
      </c>
    </row>
    <row r="20" spans="1:6" x14ac:dyDescent="0.2">
      <c r="A20" s="111"/>
      <c r="C20" s="41" t="e">
        <f t="shared" si="0"/>
        <v>#DIV/0!</v>
      </c>
      <c r="D20" s="111"/>
      <c r="E20">
        <f t="shared" si="1"/>
        <v>0</v>
      </c>
      <c r="F20" s="112">
        <f t="shared" si="2"/>
        <v>0</v>
      </c>
    </row>
    <row r="21" spans="1:6" x14ac:dyDescent="0.2">
      <c r="A21" s="111"/>
      <c r="C21" s="41" t="e">
        <f t="shared" si="0"/>
        <v>#DIV/0!</v>
      </c>
      <c r="D21" s="111"/>
      <c r="E21">
        <f t="shared" si="1"/>
        <v>0</v>
      </c>
      <c r="F21" s="112">
        <f t="shared" si="2"/>
        <v>0</v>
      </c>
    </row>
    <row r="22" spans="1:6" x14ac:dyDescent="0.2">
      <c r="A22" s="111"/>
      <c r="C22" s="41" t="e">
        <f t="shared" si="0"/>
        <v>#DIV/0!</v>
      </c>
      <c r="D22" s="111"/>
      <c r="E22">
        <f t="shared" si="1"/>
        <v>0</v>
      </c>
      <c r="F22" s="112">
        <f t="shared" si="2"/>
        <v>0</v>
      </c>
    </row>
    <row r="23" spans="1:6" x14ac:dyDescent="0.2">
      <c r="A23" s="111"/>
      <c r="C23" s="41" t="e">
        <f t="shared" si="0"/>
        <v>#DIV/0!</v>
      </c>
      <c r="D23" s="111"/>
      <c r="E23">
        <f t="shared" si="1"/>
        <v>0</v>
      </c>
      <c r="F23" s="112">
        <f t="shared" si="2"/>
        <v>0</v>
      </c>
    </row>
    <row r="24" spans="1:6" x14ac:dyDescent="0.2">
      <c r="A24" s="111"/>
      <c r="C24" s="41" t="e">
        <f t="shared" si="0"/>
        <v>#DIV/0!</v>
      </c>
      <c r="D24" s="111"/>
      <c r="E24">
        <f t="shared" si="1"/>
        <v>0</v>
      </c>
      <c r="F24" s="112">
        <f t="shared" si="2"/>
        <v>0</v>
      </c>
    </row>
    <row r="25" spans="1:6" x14ac:dyDescent="0.2">
      <c r="A25" s="111"/>
      <c r="C25" s="41" t="e">
        <f t="shared" si="0"/>
        <v>#DIV/0!</v>
      </c>
      <c r="D25" s="111"/>
      <c r="E25">
        <f t="shared" si="1"/>
        <v>0</v>
      </c>
      <c r="F25" s="112">
        <f t="shared" si="2"/>
        <v>0</v>
      </c>
    </row>
    <row r="26" spans="1:6" x14ac:dyDescent="0.2">
      <c r="A26" s="111"/>
      <c r="C26" s="41" t="e">
        <f t="shared" si="0"/>
        <v>#DIV/0!</v>
      </c>
      <c r="D26" s="111"/>
      <c r="E26">
        <f t="shared" si="1"/>
        <v>0</v>
      </c>
      <c r="F26" s="112">
        <f t="shared" si="2"/>
        <v>0</v>
      </c>
    </row>
    <row r="27" spans="1:6" x14ac:dyDescent="0.2">
      <c r="A27" s="111"/>
      <c r="C27" s="41" t="e">
        <f t="shared" si="0"/>
        <v>#DIV/0!</v>
      </c>
      <c r="D27" s="111"/>
      <c r="E27">
        <f t="shared" si="1"/>
        <v>0</v>
      </c>
      <c r="F27" s="112">
        <f t="shared" si="2"/>
        <v>0</v>
      </c>
    </row>
    <row r="28" spans="1:6" x14ac:dyDescent="0.2">
      <c r="A28" s="111"/>
      <c r="C28" s="41" t="e">
        <f t="shared" si="0"/>
        <v>#DIV/0!</v>
      </c>
      <c r="D28" s="111"/>
      <c r="E28">
        <f t="shared" si="1"/>
        <v>0</v>
      </c>
      <c r="F28" s="112">
        <f t="shared" si="2"/>
        <v>0</v>
      </c>
    </row>
    <row r="29" spans="1:6" x14ac:dyDescent="0.2">
      <c r="A29" s="111"/>
      <c r="C29" s="41" t="e">
        <f t="shared" si="0"/>
        <v>#DIV/0!</v>
      </c>
      <c r="D29" s="111"/>
      <c r="E29">
        <f t="shared" si="1"/>
        <v>0</v>
      </c>
      <c r="F29" s="112">
        <f t="shared" si="2"/>
        <v>0</v>
      </c>
    </row>
    <row r="30" spans="1:6" x14ac:dyDescent="0.2">
      <c r="A30" s="111"/>
      <c r="C30" s="41" t="e">
        <f t="shared" si="0"/>
        <v>#DIV/0!</v>
      </c>
      <c r="D30" s="111"/>
      <c r="E30">
        <f t="shared" si="1"/>
        <v>0</v>
      </c>
      <c r="F30" s="112">
        <f t="shared" si="2"/>
        <v>0</v>
      </c>
    </row>
    <row r="31" spans="1:6" x14ac:dyDescent="0.2">
      <c r="A31" s="111"/>
      <c r="C31" s="41" t="e">
        <f t="shared" si="0"/>
        <v>#DIV/0!</v>
      </c>
      <c r="D31" s="111"/>
      <c r="E31">
        <f t="shared" si="1"/>
        <v>0</v>
      </c>
      <c r="F31" s="112">
        <f t="shared" si="2"/>
        <v>0</v>
      </c>
    </row>
    <row r="32" spans="1:6" x14ac:dyDescent="0.2">
      <c r="A32" s="111"/>
      <c r="C32" s="41" t="e">
        <f t="shared" si="0"/>
        <v>#DIV/0!</v>
      </c>
      <c r="D32" s="111"/>
      <c r="E32">
        <f t="shared" si="1"/>
        <v>0</v>
      </c>
      <c r="F32" s="112">
        <f t="shared" si="2"/>
        <v>0</v>
      </c>
    </row>
    <row r="33" spans="1:6" x14ac:dyDescent="0.2">
      <c r="A33" s="111"/>
      <c r="C33" s="41" t="e">
        <f t="shared" si="0"/>
        <v>#DIV/0!</v>
      </c>
      <c r="D33" s="111"/>
      <c r="E33">
        <f t="shared" si="1"/>
        <v>0</v>
      </c>
      <c r="F33" s="112">
        <f t="shared" si="2"/>
        <v>0</v>
      </c>
    </row>
    <row r="34" spans="1:6" x14ac:dyDescent="0.2">
      <c r="A34" s="111"/>
      <c r="C34" s="41" t="e">
        <f t="shared" si="0"/>
        <v>#DIV/0!</v>
      </c>
      <c r="D34" s="111"/>
      <c r="E34">
        <f t="shared" si="1"/>
        <v>0</v>
      </c>
      <c r="F34" s="112">
        <f t="shared" si="2"/>
        <v>0</v>
      </c>
    </row>
    <row r="35" spans="1:6" x14ac:dyDescent="0.2">
      <c r="A35" s="111"/>
      <c r="C35" s="41" t="e">
        <f t="shared" si="0"/>
        <v>#DIV/0!</v>
      </c>
      <c r="D35" s="111"/>
      <c r="E35">
        <f t="shared" si="1"/>
        <v>0</v>
      </c>
      <c r="F35" s="112">
        <f t="shared" si="2"/>
        <v>0</v>
      </c>
    </row>
    <row r="36" spans="1:6" x14ac:dyDescent="0.2">
      <c r="A36" s="111"/>
      <c r="C36" s="41" t="e">
        <f t="shared" si="0"/>
        <v>#DIV/0!</v>
      </c>
      <c r="D36" s="111"/>
      <c r="E36">
        <f t="shared" si="1"/>
        <v>0</v>
      </c>
      <c r="F36" s="112">
        <f t="shared" si="2"/>
        <v>0</v>
      </c>
    </row>
    <row r="37" spans="1:6" x14ac:dyDescent="0.2">
      <c r="A37" s="111"/>
      <c r="C37" s="41" t="e">
        <f t="shared" si="0"/>
        <v>#DIV/0!</v>
      </c>
      <c r="D37" s="111"/>
      <c r="E37">
        <f t="shared" si="1"/>
        <v>0</v>
      </c>
      <c r="F37" s="112">
        <f t="shared" si="2"/>
        <v>0</v>
      </c>
    </row>
    <row r="38" spans="1:6" x14ac:dyDescent="0.2">
      <c r="A38" s="111"/>
      <c r="C38" s="41" t="e">
        <f t="shared" si="0"/>
        <v>#DIV/0!</v>
      </c>
      <c r="D38" s="111"/>
      <c r="E38">
        <f t="shared" si="1"/>
        <v>0</v>
      </c>
      <c r="F38" s="112">
        <f t="shared" si="2"/>
        <v>0</v>
      </c>
    </row>
    <row r="39" spans="1:6" x14ac:dyDescent="0.2">
      <c r="A39" s="111"/>
      <c r="C39" s="41" t="e">
        <f t="shared" si="0"/>
        <v>#DIV/0!</v>
      </c>
      <c r="D39" s="111"/>
      <c r="E39">
        <f t="shared" si="1"/>
        <v>0</v>
      </c>
      <c r="F39" s="112">
        <f t="shared" si="2"/>
        <v>0</v>
      </c>
    </row>
    <row r="40" spans="1:6" x14ac:dyDescent="0.2">
      <c r="A40" s="111"/>
      <c r="C40" s="41" t="e">
        <f t="shared" si="0"/>
        <v>#DIV/0!</v>
      </c>
      <c r="D40" s="111"/>
      <c r="E40">
        <f t="shared" si="1"/>
        <v>0</v>
      </c>
      <c r="F40" s="112">
        <f t="shared" si="2"/>
        <v>0</v>
      </c>
    </row>
    <row r="41" spans="1:6" x14ac:dyDescent="0.2">
      <c r="A41" s="111"/>
      <c r="C41" s="41" t="e">
        <f t="shared" si="0"/>
        <v>#DIV/0!</v>
      </c>
      <c r="D41" s="111"/>
      <c r="E41">
        <f t="shared" si="1"/>
        <v>0</v>
      </c>
      <c r="F41" s="112">
        <f t="shared" si="2"/>
        <v>0</v>
      </c>
    </row>
    <row r="42" spans="1:6" x14ac:dyDescent="0.2">
      <c r="A42" s="111"/>
      <c r="C42" s="41" t="e">
        <f t="shared" si="0"/>
        <v>#DIV/0!</v>
      </c>
      <c r="D42" s="111"/>
      <c r="E42">
        <f t="shared" si="1"/>
        <v>0</v>
      </c>
      <c r="F42" s="112">
        <f t="shared" si="2"/>
        <v>0</v>
      </c>
    </row>
    <row r="43" spans="1:6" x14ac:dyDescent="0.2">
      <c r="A43" s="111"/>
      <c r="D43" s="111"/>
      <c r="F43" s="112"/>
    </row>
    <row r="44" spans="1:6" x14ac:dyDescent="0.2">
      <c r="A44" s="111"/>
      <c r="D44" s="111"/>
      <c r="F44" s="112"/>
    </row>
    <row r="45" spans="1:6" x14ac:dyDescent="0.2">
      <c r="A45" s="111"/>
      <c r="D45" s="111"/>
      <c r="F45" s="112"/>
    </row>
    <row r="46" spans="1:6" x14ac:dyDescent="0.2">
      <c r="A46" s="111"/>
      <c r="D46" s="111"/>
      <c r="F46" s="112"/>
    </row>
    <row r="47" spans="1:6" x14ac:dyDescent="0.2">
      <c r="A47" s="111"/>
      <c r="D47" s="111"/>
      <c r="F47" s="112"/>
    </row>
    <row r="48" spans="1:6" x14ac:dyDescent="0.2">
      <c r="A48" s="111"/>
      <c r="D48" s="111"/>
      <c r="F48" s="112"/>
    </row>
    <row r="49" spans="1:6" x14ac:dyDescent="0.2">
      <c r="A49" s="111"/>
      <c r="D49" s="111"/>
      <c r="F49" s="112"/>
    </row>
    <row r="50" spans="1:6" x14ac:dyDescent="0.2">
      <c r="A50" s="111"/>
      <c r="D50" s="111"/>
      <c r="F50" s="112"/>
    </row>
    <row r="51" spans="1:6" x14ac:dyDescent="0.2">
      <c r="A51" s="111"/>
      <c r="D51" s="111"/>
      <c r="F51" s="112"/>
    </row>
    <row r="52" spans="1:6" x14ac:dyDescent="0.2">
      <c r="A52" s="111"/>
      <c r="D52" s="111"/>
      <c r="F52" s="112"/>
    </row>
    <row r="53" spans="1:6" x14ac:dyDescent="0.2">
      <c r="A53" s="111"/>
      <c r="D53" s="111"/>
      <c r="F53" s="112"/>
    </row>
    <row r="54" spans="1:6" x14ac:dyDescent="0.2">
      <c r="A54" s="111"/>
      <c r="D54" s="111"/>
      <c r="F54" s="112"/>
    </row>
    <row r="55" spans="1:6" x14ac:dyDescent="0.2">
      <c r="A55" s="111"/>
      <c r="D55" s="111"/>
      <c r="F55" s="112"/>
    </row>
    <row r="56" spans="1:6" x14ac:dyDescent="0.2">
      <c r="A56" s="111"/>
      <c r="D56" s="111"/>
      <c r="F56" s="112"/>
    </row>
    <row r="57" spans="1:6" x14ac:dyDescent="0.2">
      <c r="A57" s="111"/>
      <c r="D57" s="111"/>
      <c r="F57" s="112"/>
    </row>
    <row r="58" spans="1:6" x14ac:dyDescent="0.2">
      <c r="A58" s="111"/>
      <c r="D58" s="111"/>
      <c r="F58" s="112"/>
    </row>
    <row r="59" spans="1:6" x14ac:dyDescent="0.2">
      <c r="A59" s="111"/>
      <c r="D59" s="111"/>
      <c r="F59" s="112"/>
    </row>
    <row r="60" spans="1:6" x14ac:dyDescent="0.2">
      <c r="A60" s="111"/>
      <c r="D60" s="111"/>
      <c r="F60" s="112"/>
    </row>
    <row r="61" spans="1:6" x14ac:dyDescent="0.2">
      <c r="A61" s="111"/>
      <c r="D61" s="111"/>
      <c r="F61" s="112"/>
    </row>
    <row r="62" spans="1:6" x14ac:dyDescent="0.2">
      <c r="A62" s="111"/>
      <c r="D62" s="111"/>
      <c r="F62" s="112"/>
    </row>
    <row r="63" spans="1:6" x14ac:dyDescent="0.2">
      <c r="A63" s="111"/>
      <c r="D63" s="111"/>
      <c r="F63" s="112"/>
    </row>
    <row r="64" spans="1:6" x14ac:dyDescent="0.2">
      <c r="A64" s="111"/>
      <c r="D64" s="111"/>
      <c r="F64" s="112"/>
    </row>
    <row r="65" spans="1:6" x14ac:dyDescent="0.2">
      <c r="A65" s="111"/>
      <c r="D65" s="111"/>
      <c r="F65" s="112"/>
    </row>
    <row r="66" spans="1:6" x14ac:dyDescent="0.2">
      <c r="A66" s="111"/>
      <c r="D66" s="111"/>
      <c r="F66" s="112"/>
    </row>
    <row r="67" spans="1:6" x14ac:dyDescent="0.2">
      <c r="A67" s="111"/>
      <c r="D67" s="111"/>
      <c r="F67" s="112"/>
    </row>
    <row r="68" spans="1:6" x14ac:dyDescent="0.2">
      <c r="A68" s="111"/>
      <c r="D68" s="111"/>
      <c r="F68" s="112"/>
    </row>
    <row r="69" spans="1:6" x14ac:dyDescent="0.2">
      <c r="A69" s="111"/>
      <c r="D69" s="111"/>
      <c r="F69" s="112"/>
    </row>
    <row r="70" spans="1:6" x14ac:dyDescent="0.2">
      <c r="A70" s="111"/>
      <c r="D70" s="111"/>
      <c r="F70" s="112"/>
    </row>
    <row r="71" spans="1:6" x14ac:dyDescent="0.2">
      <c r="A71" s="111"/>
      <c r="D71" s="111"/>
      <c r="F71" s="112"/>
    </row>
    <row r="72" spans="1:6" x14ac:dyDescent="0.2">
      <c r="A72" s="111"/>
      <c r="D72" s="111"/>
      <c r="F72" s="112"/>
    </row>
    <row r="73" spans="1:6" x14ac:dyDescent="0.2">
      <c r="A73" s="111"/>
      <c r="D73" s="111"/>
      <c r="F73" s="112"/>
    </row>
    <row r="74" spans="1:6" x14ac:dyDescent="0.2">
      <c r="A74" s="111"/>
      <c r="D74" s="111"/>
      <c r="F74" s="112"/>
    </row>
    <row r="75" spans="1:6" x14ac:dyDescent="0.2">
      <c r="A75" s="111"/>
      <c r="D75" s="111"/>
      <c r="F75" s="112"/>
    </row>
    <row r="76" spans="1:6" x14ac:dyDescent="0.2">
      <c r="A76" s="111"/>
      <c r="D76" s="111"/>
      <c r="F76" s="112"/>
    </row>
    <row r="77" spans="1:6" x14ac:dyDescent="0.2">
      <c r="A77" s="111"/>
      <c r="D77" s="111"/>
      <c r="F77" s="112"/>
    </row>
    <row r="78" spans="1:6" x14ac:dyDescent="0.2">
      <c r="A78" s="111"/>
      <c r="D78" s="111"/>
      <c r="F78" s="112"/>
    </row>
    <row r="79" spans="1:6" x14ac:dyDescent="0.2">
      <c r="A79" s="111"/>
      <c r="D79" s="111"/>
      <c r="F79" s="112"/>
    </row>
    <row r="80" spans="1:6" x14ac:dyDescent="0.2">
      <c r="A80" s="111"/>
      <c r="D80" s="111"/>
      <c r="F80" s="112"/>
    </row>
    <row r="81" spans="1:6" x14ac:dyDescent="0.2">
      <c r="A81" s="111"/>
      <c r="D81" s="111"/>
      <c r="F81" s="112"/>
    </row>
    <row r="82" spans="1:6" x14ac:dyDescent="0.2">
      <c r="A82" s="111"/>
      <c r="D82" s="111"/>
      <c r="F82" s="112"/>
    </row>
    <row r="83" spans="1:6" x14ac:dyDescent="0.2">
      <c r="A83" s="111"/>
      <c r="D83" s="111"/>
      <c r="F83" s="112"/>
    </row>
    <row r="84" spans="1:6" x14ac:dyDescent="0.2">
      <c r="A84" s="111"/>
      <c r="D84" s="111"/>
      <c r="F84" s="112"/>
    </row>
    <row r="85" spans="1:6" x14ac:dyDescent="0.2">
      <c r="A85" s="111"/>
      <c r="D85" s="111"/>
      <c r="F85" s="112"/>
    </row>
    <row r="86" spans="1:6" x14ac:dyDescent="0.2">
      <c r="A86" s="111"/>
      <c r="D86" s="111"/>
      <c r="F86" s="112"/>
    </row>
    <row r="87" spans="1:6" x14ac:dyDescent="0.2">
      <c r="A87" s="111"/>
      <c r="D87" s="111"/>
      <c r="F87" s="112"/>
    </row>
    <row r="88" spans="1:6" x14ac:dyDescent="0.2">
      <c r="A88" s="111"/>
      <c r="D88" s="111"/>
      <c r="F88" s="112"/>
    </row>
    <row r="89" spans="1:6" x14ac:dyDescent="0.2">
      <c r="A89" s="111"/>
      <c r="D89" s="111"/>
      <c r="F89" s="112"/>
    </row>
    <row r="90" spans="1:6" x14ac:dyDescent="0.2">
      <c r="A90" s="111"/>
      <c r="D90" s="111"/>
      <c r="F90" s="112"/>
    </row>
    <row r="91" spans="1:6" x14ac:dyDescent="0.2">
      <c r="A91" s="111"/>
      <c r="D91" s="111"/>
      <c r="F91" s="112"/>
    </row>
    <row r="92" spans="1:6" x14ac:dyDescent="0.2">
      <c r="A92" s="111"/>
      <c r="D92" s="111"/>
      <c r="F92" s="112"/>
    </row>
    <row r="93" spans="1:6" x14ac:dyDescent="0.2">
      <c r="A93" s="111"/>
      <c r="D93" s="111"/>
      <c r="F93" s="112"/>
    </row>
    <row r="94" spans="1:6" x14ac:dyDescent="0.2">
      <c r="A94" s="111"/>
      <c r="D94" s="111"/>
      <c r="F94" s="112"/>
    </row>
    <row r="95" spans="1:6" x14ac:dyDescent="0.2">
      <c r="A95" s="111"/>
      <c r="D95" s="111"/>
      <c r="F95" s="112"/>
    </row>
    <row r="96" spans="1:6" x14ac:dyDescent="0.2">
      <c r="A96" s="111"/>
      <c r="D96" s="111"/>
      <c r="F96" s="112"/>
    </row>
    <row r="97" spans="1:6" x14ac:dyDescent="0.2">
      <c r="A97" s="111"/>
      <c r="D97" s="111"/>
      <c r="F97" s="112"/>
    </row>
    <row r="98" spans="1:6" x14ac:dyDescent="0.2">
      <c r="A98" s="111"/>
      <c r="D98" s="111"/>
      <c r="F98" s="112"/>
    </row>
    <row r="99" spans="1:6" x14ac:dyDescent="0.2">
      <c r="A99" s="111"/>
      <c r="D99" s="111"/>
      <c r="F99" s="112"/>
    </row>
    <row r="100" spans="1:6" x14ac:dyDescent="0.2">
      <c r="A100" s="111"/>
      <c r="D100" s="111"/>
      <c r="F100" s="112"/>
    </row>
    <row r="101" spans="1:6" x14ac:dyDescent="0.2">
      <c r="A101" s="111"/>
      <c r="D101" s="111"/>
      <c r="F101" s="112"/>
    </row>
    <row r="102" spans="1:6" x14ac:dyDescent="0.2">
      <c r="A102" s="111"/>
      <c r="D102" s="111"/>
      <c r="F102" s="112"/>
    </row>
    <row r="103" spans="1:6" x14ac:dyDescent="0.2">
      <c r="A103" s="111"/>
      <c r="D103" s="111"/>
      <c r="F103" s="112"/>
    </row>
    <row r="104" spans="1:6" x14ac:dyDescent="0.2">
      <c r="A104" s="111"/>
      <c r="D104" s="111"/>
      <c r="F104" s="112"/>
    </row>
    <row r="105" spans="1:6" x14ac:dyDescent="0.2">
      <c r="A105" s="111"/>
      <c r="D105" s="111"/>
      <c r="F105" s="112"/>
    </row>
    <row r="106" spans="1:6" x14ac:dyDescent="0.2">
      <c r="A106" s="111"/>
      <c r="D106" s="111"/>
      <c r="F106" s="112"/>
    </row>
    <row r="107" spans="1:6" x14ac:dyDescent="0.2">
      <c r="A107" s="111"/>
      <c r="D107" s="111"/>
      <c r="F107" s="112"/>
    </row>
    <row r="108" spans="1:6" x14ac:dyDescent="0.2">
      <c r="A108" s="111"/>
      <c r="D108" s="111"/>
      <c r="F108" s="112"/>
    </row>
    <row r="109" spans="1:6" x14ac:dyDescent="0.2">
      <c r="A109" s="111"/>
      <c r="D109" s="111"/>
      <c r="F109" s="112"/>
    </row>
    <row r="110" spans="1:6" x14ac:dyDescent="0.2">
      <c r="A110" s="111"/>
      <c r="D110" s="111"/>
      <c r="F110" s="112"/>
    </row>
    <row r="111" spans="1:6" x14ac:dyDescent="0.2">
      <c r="A111" s="111"/>
      <c r="D111" s="111"/>
      <c r="F111" s="112"/>
    </row>
    <row r="112" spans="1:6" x14ac:dyDescent="0.2">
      <c r="A112" s="111"/>
      <c r="D112" s="111"/>
      <c r="F112" s="112"/>
    </row>
    <row r="113" spans="1:6" x14ac:dyDescent="0.2">
      <c r="A113" s="111"/>
      <c r="D113" s="111"/>
      <c r="F113" s="112"/>
    </row>
    <row r="114" spans="1:6" x14ac:dyDescent="0.2">
      <c r="A114" s="111"/>
      <c r="D114" s="111"/>
      <c r="F114" s="112"/>
    </row>
    <row r="115" spans="1:6" x14ac:dyDescent="0.2">
      <c r="A115" s="111"/>
      <c r="D115" s="111"/>
      <c r="F115" s="112"/>
    </row>
    <row r="116" spans="1:6" x14ac:dyDescent="0.2">
      <c r="A116" s="111"/>
      <c r="D116" s="111"/>
      <c r="F116" s="112"/>
    </row>
    <row r="117" spans="1:6" x14ac:dyDescent="0.2">
      <c r="A117" s="111"/>
      <c r="D117" s="111"/>
      <c r="F117" s="112"/>
    </row>
    <row r="118" spans="1:6" x14ac:dyDescent="0.2">
      <c r="A118" s="111"/>
      <c r="D118" s="111"/>
      <c r="F118" s="112"/>
    </row>
    <row r="119" spans="1:6" x14ac:dyDescent="0.2">
      <c r="A119" s="111"/>
      <c r="D119" s="111"/>
      <c r="F119" s="112"/>
    </row>
    <row r="120" spans="1:6" x14ac:dyDescent="0.2">
      <c r="A120" s="111"/>
      <c r="D120" s="111"/>
      <c r="F120" s="112"/>
    </row>
    <row r="121" spans="1:6" x14ac:dyDescent="0.2">
      <c r="A121" s="111"/>
      <c r="D121" s="111"/>
      <c r="F121" s="112"/>
    </row>
    <row r="122" spans="1:6" x14ac:dyDescent="0.2">
      <c r="A122" s="111"/>
      <c r="D122" s="111"/>
      <c r="F122" s="112"/>
    </row>
    <row r="123" spans="1:6" x14ac:dyDescent="0.2">
      <c r="A123" s="111"/>
      <c r="D123" s="111"/>
      <c r="F123" s="112"/>
    </row>
    <row r="124" spans="1:6" x14ac:dyDescent="0.2">
      <c r="A124" s="111"/>
      <c r="D124" s="111"/>
      <c r="F124" s="112"/>
    </row>
    <row r="125" spans="1:6" x14ac:dyDescent="0.2">
      <c r="A125" s="111"/>
      <c r="D125" s="111"/>
      <c r="F125" s="112"/>
    </row>
    <row r="126" spans="1:6" x14ac:dyDescent="0.2">
      <c r="A126" s="111"/>
      <c r="D126" s="111"/>
      <c r="F126" s="112"/>
    </row>
    <row r="127" spans="1:6" x14ac:dyDescent="0.2">
      <c r="A127" s="111"/>
      <c r="D127" s="111"/>
      <c r="F127" s="112"/>
    </row>
    <row r="128" spans="1:6" x14ac:dyDescent="0.2">
      <c r="A128" s="111"/>
      <c r="D128" s="111"/>
      <c r="F128" s="112"/>
    </row>
    <row r="129" spans="1:6" x14ac:dyDescent="0.2">
      <c r="A129" s="111"/>
      <c r="D129" s="111"/>
      <c r="F129" s="112"/>
    </row>
    <row r="130" spans="1:6" x14ac:dyDescent="0.2">
      <c r="A130" s="111"/>
      <c r="D130" s="111"/>
      <c r="F130" s="112"/>
    </row>
    <row r="131" spans="1:6" x14ac:dyDescent="0.2">
      <c r="A131" s="111"/>
      <c r="D131" s="111"/>
      <c r="F131" s="112"/>
    </row>
    <row r="132" spans="1:6" x14ac:dyDescent="0.2">
      <c r="A132" s="111"/>
      <c r="D132" s="111"/>
      <c r="F132" s="112"/>
    </row>
    <row r="133" spans="1:6" x14ac:dyDescent="0.2">
      <c r="A133" s="111"/>
      <c r="D133" s="111"/>
      <c r="F133" s="112"/>
    </row>
    <row r="134" spans="1:6" x14ac:dyDescent="0.2">
      <c r="A134" s="111"/>
      <c r="D134" s="111"/>
      <c r="F134" s="112"/>
    </row>
    <row r="135" spans="1:6" x14ac:dyDescent="0.2">
      <c r="A135" s="111"/>
      <c r="D135" s="111"/>
      <c r="F135" s="112"/>
    </row>
    <row r="136" spans="1:6" x14ac:dyDescent="0.2">
      <c r="A136" s="111"/>
      <c r="D136" s="111"/>
      <c r="F136" s="112"/>
    </row>
    <row r="137" spans="1:6" x14ac:dyDescent="0.2">
      <c r="A137" s="111"/>
      <c r="D137" s="111"/>
      <c r="F137" s="112"/>
    </row>
    <row r="138" spans="1:6" x14ac:dyDescent="0.2">
      <c r="A138" s="111"/>
      <c r="D138" s="111"/>
      <c r="F138" s="112"/>
    </row>
    <row r="139" spans="1:6" x14ac:dyDescent="0.2">
      <c r="A139" s="111"/>
      <c r="D139" s="111"/>
      <c r="F139" s="112"/>
    </row>
    <row r="140" spans="1:6" x14ac:dyDescent="0.2">
      <c r="A140" s="111"/>
      <c r="D140" s="111"/>
      <c r="F140" s="112"/>
    </row>
    <row r="141" spans="1:6" x14ac:dyDescent="0.2">
      <c r="A141" s="111"/>
      <c r="D141" s="111"/>
      <c r="F141" s="112"/>
    </row>
    <row r="142" spans="1:6" x14ac:dyDescent="0.2">
      <c r="A142" s="111"/>
      <c r="D142" s="111"/>
      <c r="F142" s="112"/>
    </row>
    <row r="143" spans="1:6" x14ac:dyDescent="0.2">
      <c r="A143" s="111"/>
      <c r="D143" s="111"/>
      <c r="F143" s="112"/>
    </row>
    <row r="144" spans="1:6" x14ac:dyDescent="0.2">
      <c r="A144" s="111"/>
      <c r="D144" s="111"/>
      <c r="F144" s="112"/>
    </row>
    <row r="145" spans="1:6" x14ac:dyDescent="0.2">
      <c r="A145" s="111"/>
      <c r="D145" s="111"/>
      <c r="F145" s="112"/>
    </row>
    <row r="146" spans="1:6" x14ac:dyDescent="0.2">
      <c r="A146" s="111"/>
      <c r="D146" s="111"/>
      <c r="F146" s="112"/>
    </row>
    <row r="147" spans="1:6" x14ac:dyDescent="0.2">
      <c r="A147" s="111"/>
      <c r="D147" s="111"/>
      <c r="F147" s="112"/>
    </row>
    <row r="148" spans="1:6" x14ac:dyDescent="0.2">
      <c r="A148" s="111"/>
      <c r="D148" s="111"/>
      <c r="F148" s="112"/>
    </row>
    <row r="149" spans="1:6" x14ac:dyDescent="0.2">
      <c r="A149" s="111"/>
      <c r="D149" s="111"/>
      <c r="F149" s="112"/>
    </row>
    <row r="150" spans="1:6" x14ac:dyDescent="0.2">
      <c r="A150" s="111"/>
      <c r="D150" s="111"/>
      <c r="F150" s="112"/>
    </row>
    <row r="151" spans="1:6" x14ac:dyDescent="0.2">
      <c r="A151" s="111"/>
      <c r="D151" s="111"/>
      <c r="F151" s="112"/>
    </row>
    <row r="152" spans="1:6" x14ac:dyDescent="0.2">
      <c r="A152" s="111"/>
      <c r="D152" s="111"/>
      <c r="F152" s="112"/>
    </row>
    <row r="153" spans="1:6" x14ac:dyDescent="0.2">
      <c r="A153" s="111"/>
      <c r="D153" s="111"/>
      <c r="F153" s="112"/>
    </row>
    <row r="154" spans="1:6" x14ac:dyDescent="0.2">
      <c r="A154" s="111"/>
      <c r="D154" s="111"/>
      <c r="F154" s="112"/>
    </row>
    <row r="155" spans="1:6" x14ac:dyDescent="0.2">
      <c r="A155" s="111"/>
      <c r="D155" s="111"/>
      <c r="F155" s="112"/>
    </row>
    <row r="156" spans="1:6" x14ac:dyDescent="0.2">
      <c r="A156" s="111"/>
      <c r="D156" s="111"/>
      <c r="F156" s="112"/>
    </row>
    <row r="157" spans="1:6" x14ac:dyDescent="0.2">
      <c r="A157" s="111"/>
      <c r="D157" s="111"/>
      <c r="F157" s="112"/>
    </row>
    <row r="158" spans="1:6" x14ac:dyDescent="0.2">
      <c r="A158" s="111"/>
      <c r="D158" s="111"/>
      <c r="F158" s="112"/>
    </row>
    <row r="159" spans="1:6" x14ac:dyDescent="0.2">
      <c r="A159" s="111"/>
      <c r="D159" s="111"/>
      <c r="F159" s="112"/>
    </row>
    <row r="160" spans="1:6" x14ac:dyDescent="0.2">
      <c r="A160" s="111"/>
      <c r="D160" s="111"/>
      <c r="F160" s="112"/>
    </row>
    <row r="161" spans="1:6" x14ac:dyDescent="0.2">
      <c r="A161" s="111"/>
      <c r="D161" s="111"/>
      <c r="F161" s="112"/>
    </row>
    <row r="162" spans="1:6" x14ac:dyDescent="0.2">
      <c r="A162" s="111"/>
      <c r="D162" s="111"/>
      <c r="F162" s="112"/>
    </row>
    <row r="163" spans="1:6" x14ac:dyDescent="0.2">
      <c r="A163" s="111"/>
      <c r="D163" s="111"/>
      <c r="F163" s="112"/>
    </row>
    <row r="164" spans="1:6" x14ac:dyDescent="0.2">
      <c r="A164" s="111"/>
      <c r="D164" s="111"/>
      <c r="F164" s="112"/>
    </row>
    <row r="165" spans="1:6" x14ac:dyDescent="0.2">
      <c r="A165" s="111"/>
      <c r="D165" s="111"/>
      <c r="F165" s="112"/>
    </row>
    <row r="166" spans="1:6" x14ac:dyDescent="0.2">
      <c r="A166" s="111"/>
      <c r="D166" s="111"/>
      <c r="F166" s="112"/>
    </row>
    <row r="167" spans="1:6" x14ac:dyDescent="0.2">
      <c r="A167" s="111"/>
      <c r="D167" s="111"/>
      <c r="F167" s="112"/>
    </row>
    <row r="168" spans="1:6" x14ac:dyDescent="0.2">
      <c r="A168" s="111"/>
      <c r="D168" s="111"/>
      <c r="F168" s="112"/>
    </row>
    <row r="169" spans="1:6" x14ac:dyDescent="0.2">
      <c r="A169" s="111"/>
      <c r="D169" s="111"/>
      <c r="F169" s="112"/>
    </row>
    <row r="170" spans="1:6" x14ac:dyDescent="0.2">
      <c r="A170" s="111"/>
      <c r="D170" s="111"/>
      <c r="F170" s="112"/>
    </row>
    <row r="171" spans="1:6" x14ac:dyDescent="0.2">
      <c r="A171" s="111"/>
      <c r="D171" s="111"/>
      <c r="F171" s="112"/>
    </row>
    <row r="172" spans="1:6" x14ac:dyDescent="0.2">
      <c r="A172" s="111"/>
      <c r="D172" s="111"/>
      <c r="F172" s="112"/>
    </row>
    <row r="173" spans="1:6" x14ac:dyDescent="0.2">
      <c r="A173" s="111"/>
      <c r="D173" s="111"/>
      <c r="F173" s="112"/>
    </row>
    <row r="174" spans="1:6" x14ac:dyDescent="0.2">
      <c r="A174" s="111"/>
      <c r="D174" s="111"/>
      <c r="F174" s="112"/>
    </row>
    <row r="175" spans="1:6" x14ac:dyDescent="0.2">
      <c r="A175" s="111"/>
      <c r="D175" s="111"/>
      <c r="F175" s="112"/>
    </row>
    <row r="176" spans="1:6" x14ac:dyDescent="0.2">
      <c r="A176" s="111"/>
      <c r="D176" s="111"/>
      <c r="F176" s="112"/>
    </row>
    <row r="177" spans="1:6" x14ac:dyDescent="0.2">
      <c r="A177" s="111"/>
      <c r="D177" s="111"/>
      <c r="F177" s="112"/>
    </row>
    <row r="178" spans="1:6" x14ac:dyDescent="0.2">
      <c r="A178" s="111"/>
      <c r="D178" s="111"/>
      <c r="F178" s="112"/>
    </row>
    <row r="179" spans="1:6" x14ac:dyDescent="0.2">
      <c r="A179" s="111"/>
      <c r="D179" s="111"/>
      <c r="F179" s="112"/>
    </row>
    <row r="180" spans="1:6" x14ac:dyDescent="0.2">
      <c r="A180" s="111"/>
      <c r="D180" s="111"/>
      <c r="F180" s="112"/>
    </row>
    <row r="181" spans="1:6" x14ac:dyDescent="0.2">
      <c r="A181" s="111"/>
      <c r="D181" s="111"/>
      <c r="F181" s="112"/>
    </row>
    <row r="182" spans="1:6" x14ac:dyDescent="0.2">
      <c r="A182" s="111"/>
      <c r="D182" s="111"/>
      <c r="F182" s="112"/>
    </row>
    <row r="183" spans="1:6" x14ac:dyDescent="0.2">
      <c r="A183" s="111"/>
      <c r="D183" s="111"/>
      <c r="F183" s="112"/>
    </row>
    <row r="184" spans="1:6" x14ac:dyDescent="0.2">
      <c r="A184" s="111"/>
      <c r="D184" s="111"/>
      <c r="F184" s="112"/>
    </row>
    <row r="185" spans="1:6" x14ac:dyDescent="0.2">
      <c r="A185" s="111"/>
      <c r="D185" s="111"/>
      <c r="F185" s="112"/>
    </row>
    <row r="186" spans="1:6" x14ac:dyDescent="0.2">
      <c r="A186" s="111"/>
      <c r="D186" s="111"/>
      <c r="F186" s="112"/>
    </row>
    <row r="187" spans="1:6" x14ac:dyDescent="0.2">
      <c r="A187" s="111"/>
      <c r="D187" s="111"/>
      <c r="F187" s="112"/>
    </row>
    <row r="188" spans="1:6" x14ac:dyDescent="0.2">
      <c r="A188" s="111"/>
      <c r="D188" s="111"/>
      <c r="F188" s="112"/>
    </row>
    <row r="189" spans="1:6" x14ac:dyDescent="0.2">
      <c r="A189" s="111"/>
      <c r="D189" s="111"/>
      <c r="F189" s="112"/>
    </row>
    <row r="190" spans="1:6" x14ac:dyDescent="0.2">
      <c r="A190" s="111"/>
      <c r="D190" s="111"/>
      <c r="F190" s="112"/>
    </row>
    <row r="191" spans="1:6" x14ac:dyDescent="0.2">
      <c r="A191" s="111"/>
      <c r="D191" s="111"/>
      <c r="F191" s="112"/>
    </row>
    <row r="192" spans="1:6" x14ac:dyDescent="0.2">
      <c r="A192" s="111"/>
      <c r="D192" s="111"/>
      <c r="F192" s="112"/>
    </row>
    <row r="193" spans="1:6" x14ac:dyDescent="0.2">
      <c r="A193" s="111"/>
      <c r="D193" s="111"/>
      <c r="F193" s="112"/>
    </row>
    <row r="194" spans="1:6" x14ac:dyDescent="0.2">
      <c r="A194" s="111"/>
      <c r="D194" s="111"/>
      <c r="F194" s="112"/>
    </row>
    <row r="195" spans="1:6" x14ac:dyDescent="0.2">
      <c r="A195" s="111"/>
      <c r="D195" s="111"/>
      <c r="F195" s="112"/>
    </row>
    <row r="196" spans="1:6" x14ac:dyDescent="0.2">
      <c r="A196" s="111"/>
      <c r="D196" s="111"/>
      <c r="F196" s="112"/>
    </row>
    <row r="197" spans="1:6" x14ac:dyDescent="0.2">
      <c r="A197" s="111"/>
      <c r="D197" s="111"/>
      <c r="F197" s="112"/>
    </row>
    <row r="198" spans="1:6" x14ac:dyDescent="0.2">
      <c r="A198" s="111"/>
      <c r="D198" s="111"/>
      <c r="F198" s="112"/>
    </row>
    <row r="199" spans="1:6" x14ac:dyDescent="0.2">
      <c r="A199" s="111"/>
      <c r="D199" s="111"/>
      <c r="F199" s="112"/>
    </row>
    <row r="200" spans="1:6" x14ac:dyDescent="0.2">
      <c r="A200" s="111"/>
      <c r="D200" s="111"/>
      <c r="F200" s="112"/>
    </row>
    <row r="201" spans="1:6" x14ac:dyDescent="0.2">
      <c r="A201" s="111"/>
      <c r="D201" s="111"/>
      <c r="F201" s="112"/>
    </row>
    <row r="202" spans="1:6" x14ac:dyDescent="0.2">
      <c r="A202" s="111"/>
      <c r="D202" s="111"/>
      <c r="F202" s="112"/>
    </row>
    <row r="203" spans="1:6" x14ac:dyDescent="0.2">
      <c r="A203" s="111"/>
      <c r="D203" s="111"/>
      <c r="F203" s="112"/>
    </row>
    <row r="204" spans="1:6" x14ac:dyDescent="0.2">
      <c r="A204" s="111"/>
      <c r="D204" s="111"/>
      <c r="F204" s="112"/>
    </row>
    <row r="205" spans="1:6" x14ac:dyDescent="0.2">
      <c r="A205" s="111"/>
      <c r="D205" s="111"/>
      <c r="F205" s="112"/>
    </row>
    <row r="206" spans="1:6" x14ac:dyDescent="0.2">
      <c r="A206" s="111"/>
      <c r="D206" s="111"/>
      <c r="F206" s="112"/>
    </row>
    <row r="207" spans="1:6" x14ac:dyDescent="0.2">
      <c r="A207" s="111"/>
      <c r="D207" s="111"/>
      <c r="F207" s="112"/>
    </row>
    <row r="208" spans="1:6" x14ac:dyDescent="0.2">
      <c r="A208" s="111"/>
      <c r="D208" s="111"/>
      <c r="F208" s="112"/>
    </row>
    <row r="209" spans="1:6" x14ac:dyDescent="0.2">
      <c r="A209" s="111"/>
      <c r="D209" s="111"/>
      <c r="F209" s="112"/>
    </row>
    <row r="210" spans="1:6" x14ac:dyDescent="0.2">
      <c r="A210" s="111"/>
      <c r="D210" s="111"/>
      <c r="F210" s="112"/>
    </row>
    <row r="211" spans="1:6" x14ac:dyDescent="0.2">
      <c r="A211" s="111"/>
      <c r="D211" s="111"/>
      <c r="F211" s="112"/>
    </row>
    <row r="212" spans="1:6" x14ac:dyDescent="0.2">
      <c r="A212" s="111"/>
      <c r="D212" s="111"/>
      <c r="F212" s="112"/>
    </row>
    <row r="213" spans="1:6" x14ac:dyDescent="0.2">
      <c r="A213" s="111"/>
      <c r="D213" s="111"/>
      <c r="F213" s="112"/>
    </row>
    <row r="214" spans="1:6" x14ac:dyDescent="0.2">
      <c r="A214" s="111"/>
      <c r="D214" s="111"/>
      <c r="F214" s="112"/>
    </row>
    <row r="215" spans="1:6" x14ac:dyDescent="0.2">
      <c r="A215" s="111"/>
      <c r="D215" s="111"/>
      <c r="F215" s="112"/>
    </row>
    <row r="216" spans="1:6" x14ac:dyDescent="0.2">
      <c r="A216" s="111"/>
      <c r="D216" s="111"/>
      <c r="F216" s="112"/>
    </row>
    <row r="217" spans="1:6" x14ac:dyDescent="0.2">
      <c r="A217" s="111"/>
      <c r="D217" s="111"/>
      <c r="F217" s="112"/>
    </row>
    <row r="218" spans="1:6" x14ac:dyDescent="0.2">
      <c r="A218" s="111"/>
      <c r="D218" s="111"/>
      <c r="F218" s="112"/>
    </row>
    <row r="219" spans="1:6" x14ac:dyDescent="0.2">
      <c r="A219" s="111"/>
      <c r="D219" s="111"/>
      <c r="F219" s="112"/>
    </row>
    <row r="220" spans="1:6" x14ac:dyDescent="0.2">
      <c r="A220" s="111"/>
      <c r="D220" s="111"/>
      <c r="F220" s="112"/>
    </row>
    <row r="221" spans="1:6" x14ac:dyDescent="0.2">
      <c r="A221" s="111"/>
      <c r="D221" s="111"/>
      <c r="F221" s="112"/>
    </row>
    <row r="222" spans="1:6" x14ac:dyDescent="0.2">
      <c r="A222" s="111"/>
      <c r="D222" s="111"/>
      <c r="F222" s="112"/>
    </row>
    <row r="223" spans="1:6" x14ac:dyDescent="0.2">
      <c r="A223" s="111"/>
      <c r="D223" s="111"/>
      <c r="F223" s="112"/>
    </row>
    <row r="224" spans="1:6" x14ac:dyDescent="0.2">
      <c r="A224" s="111"/>
      <c r="D224" s="111"/>
      <c r="F224" s="112"/>
    </row>
    <row r="225" spans="1:6" x14ac:dyDescent="0.2">
      <c r="A225" s="111"/>
      <c r="D225" s="111"/>
      <c r="F225" s="112"/>
    </row>
    <row r="226" spans="1:6" x14ac:dyDescent="0.2">
      <c r="A226" s="111"/>
      <c r="D226" s="111"/>
      <c r="F226" s="112"/>
    </row>
    <row r="227" spans="1:6" x14ac:dyDescent="0.2">
      <c r="A227" s="111"/>
      <c r="D227" s="111"/>
      <c r="F227" s="112"/>
    </row>
    <row r="228" spans="1:6" x14ac:dyDescent="0.2">
      <c r="A228" s="111"/>
      <c r="D228" s="111"/>
      <c r="F228" s="112"/>
    </row>
    <row r="229" spans="1:6" x14ac:dyDescent="0.2">
      <c r="A229" s="111"/>
      <c r="D229" s="111"/>
      <c r="F229" s="112"/>
    </row>
    <row r="230" spans="1:6" x14ac:dyDescent="0.2">
      <c r="A230" s="111"/>
      <c r="D230" s="111"/>
      <c r="F230" s="112"/>
    </row>
    <row r="231" spans="1:6" x14ac:dyDescent="0.2">
      <c r="A231" s="111"/>
      <c r="D231" s="111"/>
      <c r="F231" s="112"/>
    </row>
    <row r="232" spans="1:6" x14ac:dyDescent="0.2">
      <c r="A232" s="111"/>
      <c r="D232" s="111"/>
      <c r="F232" s="112"/>
    </row>
    <row r="233" spans="1:6" x14ac:dyDescent="0.2">
      <c r="A233" s="111"/>
      <c r="D233" s="111"/>
      <c r="F233" s="112"/>
    </row>
    <row r="234" spans="1:6" x14ac:dyDescent="0.2">
      <c r="A234" s="111"/>
      <c r="D234" s="111"/>
      <c r="F234" s="112"/>
    </row>
    <row r="235" spans="1:6" x14ac:dyDescent="0.2">
      <c r="A235" s="111"/>
      <c r="D235" s="111"/>
      <c r="F235" s="112"/>
    </row>
    <row r="236" spans="1:6" x14ac:dyDescent="0.2">
      <c r="A236" s="111"/>
      <c r="D236" s="111"/>
      <c r="F236" s="112"/>
    </row>
    <row r="237" spans="1:6" x14ac:dyDescent="0.2">
      <c r="A237" s="111"/>
      <c r="D237" s="111"/>
      <c r="F237" s="112"/>
    </row>
    <row r="238" spans="1:6" x14ac:dyDescent="0.2">
      <c r="A238" s="111"/>
      <c r="D238" s="111"/>
      <c r="F238" s="112"/>
    </row>
    <row r="239" spans="1:6" x14ac:dyDescent="0.2">
      <c r="A239" s="111"/>
      <c r="D239" s="111"/>
      <c r="F239" s="112"/>
    </row>
    <row r="240" spans="1:6" x14ac:dyDescent="0.2">
      <c r="A240" s="111"/>
      <c r="D240" s="111"/>
      <c r="F240" s="112"/>
    </row>
    <row r="241" spans="1:6" x14ac:dyDescent="0.2">
      <c r="A241" s="111"/>
      <c r="D241" s="111"/>
      <c r="F241" s="112"/>
    </row>
    <row r="242" spans="1:6" x14ac:dyDescent="0.2">
      <c r="A242" s="111"/>
      <c r="D242" s="111"/>
      <c r="F242" s="112"/>
    </row>
    <row r="243" spans="1:6" x14ac:dyDescent="0.2">
      <c r="A243" s="111"/>
      <c r="D243" s="111"/>
      <c r="F243" s="112"/>
    </row>
    <row r="244" spans="1:6" x14ac:dyDescent="0.2">
      <c r="A244" s="111"/>
      <c r="D244" s="111"/>
      <c r="F244" s="112"/>
    </row>
    <row r="245" spans="1:6" x14ac:dyDescent="0.2">
      <c r="A245" s="111"/>
      <c r="D245" s="111"/>
      <c r="F245" s="112"/>
    </row>
    <row r="246" spans="1:6" x14ac:dyDescent="0.2">
      <c r="A246" s="111"/>
      <c r="D246" s="111"/>
      <c r="F246" s="112"/>
    </row>
    <row r="247" spans="1:6" x14ac:dyDescent="0.2">
      <c r="A247" s="111"/>
      <c r="D247" s="111"/>
      <c r="F247" s="112"/>
    </row>
    <row r="248" spans="1:6" x14ac:dyDescent="0.2">
      <c r="A248" s="111"/>
      <c r="D248" s="111"/>
      <c r="F248" s="112"/>
    </row>
    <row r="249" spans="1:6" x14ac:dyDescent="0.2">
      <c r="A249" s="111"/>
      <c r="D249" s="111"/>
      <c r="F249" s="112"/>
    </row>
    <row r="250" spans="1:6" x14ac:dyDescent="0.2">
      <c r="A250" s="111"/>
      <c r="D250" s="111"/>
      <c r="F250" s="112"/>
    </row>
    <row r="251" spans="1:6" x14ac:dyDescent="0.2">
      <c r="A251" s="111"/>
      <c r="D251" s="111"/>
      <c r="F251" s="112"/>
    </row>
    <row r="252" spans="1:6" x14ac:dyDescent="0.2">
      <c r="A252" s="111"/>
      <c r="D252" s="111"/>
      <c r="F252" s="112"/>
    </row>
    <row r="253" spans="1:6" x14ac:dyDescent="0.2">
      <c r="A253" s="111"/>
      <c r="D253" s="111"/>
      <c r="F253" s="112"/>
    </row>
    <row r="254" spans="1:6" x14ac:dyDescent="0.2">
      <c r="A254" s="111"/>
      <c r="D254" s="111"/>
      <c r="F254" s="112"/>
    </row>
    <row r="255" spans="1:6" x14ac:dyDescent="0.2">
      <c r="A255" s="111"/>
      <c r="D255" s="111"/>
      <c r="F255" s="112"/>
    </row>
    <row r="256" spans="1:6" x14ac:dyDescent="0.2">
      <c r="A256" s="111"/>
      <c r="D256" s="111"/>
      <c r="F256" s="112"/>
    </row>
    <row r="257" spans="1:6" x14ac:dyDescent="0.2">
      <c r="A257" s="111"/>
      <c r="D257" s="111"/>
      <c r="F257" s="112"/>
    </row>
    <row r="258" spans="1:6" x14ac:dyDescent="0.2">
      <c r="A258" s="111"/>
      <c r="D258" s="111"/>
      <c r="F258" s="112"/>
    </row>
    <row r="259" spans="1:6" x14ac:dyDescent="0.2">
      <c r="A259" s="111"/>
      <c r="D259" s="111"/>
      <c r="F259" s="112"/>
    </row>
    <row r="260" spans="1:6" x14ac:dyDescent="0.2">
      <c r="A260" s="111"/>
      <c r="D260" s="111"/>
      <c r="F260" s="112"/>
    </row>
    <row r="261" spans="1:6" x14ac:dyDescent="0.2">
      <c r="A261" s="111"/>
      <c r="D261" s="111"/>
      <c r="F261" s="112"/>
    </row>
    <row r="262" spans="1:6" x14ac:dyDescent="0.2">
      <c r="A262" s="111"/>
      <c r="D262" s="111"/>
      <c r="F262" s="112"/>
    </row>
    <row r="263" spans="1:6" x14ac:dyDescent="0.2">
      <c r="A263" s="111"/>
      <c r="D263" s="111"/>
      <c r="F263" s="112"/>
    </row>
    <row r="264" spans="1:6" x14ac:dyDescent="0.2">
      <c r="A264" s="111"/>
      <c r="D264" s="111"/>
      <c r="F264" s="112"/>
    </row>
    <row r="265" spans="1:6" x14ac:dyDescent="0.2">
      <c r="A265" s="111"/>
      <c r="D265" s="111"/>
      <c r="F265" s="112"/>
    </row>
    <row r="266" spans="1:6" x14ac:dyDescent="0.2">
      <c r="A266" s="111"/>
      <c r="D266" s="111"/>
      <c r="F266" s="112"/>
    </row>
    <row r="267" spans="1:6" x14ac:dyDescent="0.2">
      <c r="A267" s="111"/>
      <c r="D267" s="111"/>
      <c r="F267" s="112"/>
    </row>
    <row r="268" spans="1:6" x14ac:dyDescent="0.2">
      <c r="A268" s="111"/>
      <c r="D268" s="111"/>
      <c r="F268" s="112"/>
    </row>
    <row r="269" spans="1:6" x14ac:dyDescent="0.2">
      <c r="A269" s="111"/>
      <c r="D269" s="111"/>
      <c r="F269" s="112"/>
    </row>
    <row r="270" spans="1:6" x14ac:dyDescent="0.2">
      <c r="A270" s="111"/>
      <c r="D270" s="111"/>
      <c r="F270" s="112"/>
    </row>
    <row r="271" spans="1:6" x14ac:dyDescent="0.2">
      <c r="A271" s="111"/>
      <c r="D271" s="111"/>
      <c r="F271" s="112"/>
    </row>
    <row r="272" spans="1:6" x14ac:dyDescent="0.2">
      <c r="A272" s="111"/>
      <c r="D272" s="111"/>
      <c r="F272" s="112"/>
    </row>
    <row r="273" spans="1:6" x14ac:dyDescent="0.2">
      <c r="A273" s="111"/>
      <c r="D273" s="111"/>
      <c r="F273" s="112"/>
    </row>
    <row r="274" spans="1:6" x14ac:dyDescent="0.2">
      <c r="A274" s="111"/>
      <c r="D274" s="111"/>
      <c r="F274" s="112"/>
    </row>
    <row r="275" spans="1:6" x14ac:dyDescent="0.2">
      <c r="A275" s="111"/>
      <c r="D275" s="111"/>
      <c r="F275" s="112"/>
    </row>
    <row r="276" spans="1:6" x14ac:dyDescent="0.2">
      <c r="A276" s="111"/>
      <c r="D276" s="111"/>
      <c r="F276" s="112"/>
    </row>
    <row r="277" spans="1:6" x14ac:dyDescent="0.2">
      <c r="A277" s="111"/>
      <c r="D277" s="111"/>
      <c r="F277" s="112"/>
    </row>
    <row r="278" spans="1:6" x14ac:dyDescent="0.2">
      <c r="A278" s="111"/>
      <c r="D278" s="111"/>
      <c r="F278" s="112"/>
    </row>
    <row r="279" spans="1:6" x14ac:dyDescent="0.2">
      <c r="A279" s="111"/>
      <c r="D279" s="111"/>
      <c r="F279" s="112"/>
    </row>
    <row r="280" spans="1:6" x14ac:dyDescent="0.2">
      <c r="A280" s="111"/>
      <c r="D280" s="111"/>
      <c r="F280" s="112"/>
    </row>
    <row r="281" spans="1:6" x14ac:dyDescent="0.2">
      <c r="A281" s="111"/>
      <c r="D281" s="111"/>
      <c r="F281" s="112"/>
    </row>
    <row r="282" spans="1:6" x14ac:dyDescent="0.2">
      <c r="A282" s="111"/>
      <c r="D282" s="111"/>
      <c r="F282" s="112"/>
    </row>
    <row r="283" spans="1:6" x14ac:dyDescent="0.2">
      <c r="A283" s="111"/>
      <c r="D283" s="111"/>
      <c r="F283" s="112"/>
    </row>
    <row r="284" spans="1:6" x14ac:dyDescent="0.2">
      <c r="A284" s="111"/>
      <c r="D284" s="111"/>
      <c r="F284" s="112"/>
    </row>
    <row r="285" spans="1:6" x14ac:dyDescent="0.2">
      <c r="A285" s="111"/>
      <c r="D285" s="111"/>
      <c r="F285" s="112"/>
    </row>
    <row r="286" spans="1:6" x14ac:dyDescent="0.2">
      <c r="A286" s="111"/>
      <c r="D286" s="111"/>
      <c r="F286" s="112"/>
    </row>
    <row r="287" spans="1:6" x14ac:dyDescent="0.2">
      <c r="A287" s="111"/>
      <c r="D287" s="111"/>
      <c r="F287" s="112"/>
    </row>
    <row r="288" spans="1:6" x14ac:dyDescent="0.2">
      <c r="A288" s="111"/>
      <c r="D288" s="111"/>
      <c r="F288" s="112"/>
    </row>
    <row r="289" spans="1:6" x14ac:dyDescent="0.2">
      <c r="A289" s="111"/>
      <c r="D289" s="111"/>
      <c r="F289" s="112"/>
    </row>
    <row r="290" spans="1:6" x14ac:dyDescent="0.2">
      <c r="A290" s="111"/>
      <c r="D290" s="111"/>
      <c r="F290" s="112"/>
    </row>
    <row r="291" spans="1:6" x14ac:dyDescent="0.2">
      <c r="A291" s="111"/>
      <c r="D291" s="111"/>
      <c r="F291" s="112"/>
    </row>
    <row r="292" spans="1:6" x14ac:dyDescent="0.2">
      <c r="A292" s="111"/>
      <c r="D292" s="111"/>
      <c r="F292" s="112"/>
    </row>
    <row r="293" spans="1:6" x14ac:dyDescent="0.2">
      <c r="A293" s="111"/>
      <c r="D293" s="111"/>
      <c r="F293" s="112"/>
    </row>
    <row r="294" spans="1:6" x14ac:dyDescent="0.2">
      <c r="A294" s="111"/>
      <c r="D294" s="111"/>
      <c r="F294" s="112"/>
    </row>
    <row r="295" spans="1:6" x14ac:dyDescent="0.2">
      <c r="A295" s="111"/>
      <c r="D295" s="111"/>
      <c r="F295" s="112"/>
    </row>
    <row r="296" spans="1:6" x14ac:dyDescent="0.2">
      <c r="A296" s="111"/>
      <c r="D296" s="111"/>
      <c r="F296" s="112"/>
    </row>
    <row r="297" spans="1:6" x14ac:dyDescent="0.2">
      <c r="A297" s="111"/>
      <c r="D297" s="111"/>
      <c r="F297" s="112"/>
    </row>
    <row r="298" spans="1:6" x14ac:dyDescent="0.2">
      <c r="A298" s="111"/>
      <c r="D298" s="111"/>
      <c r="F298" s="112"/>
    </row>
    <row r="299" spans="1:6" x14ac:dyDescent="0.2">
      <c r="A299" s="111"/>
      <c r="D299" s="111"/>
      <c r="F299" s="112"/>
    </row>
    <row r="300" spans="1:6" x14ac:dyDescent="0.2">
      <c r="A300" s="111"/>
      <c r="D300" s="111"/>
      <c r="F300" s="112"/>
    </row>
    <row r="301" spans="1:6" x14ac:dyDescent="0.2">
      <c r="A301" s="111"/>
      <c r="D301" s="111"/>
      <c r="F301" s="112"/>
    </row>
    <row r="302" spans="1:6" x14ac:dyDescent="0.2">
      <c r="A302" s="111"/>
      <c r="D302" s="111"/>
      <c r="F302" s="112"/>
    </row>
    <row r="303" spans="1:6" x14ac:dyDescent="0.2">
      <c r="A303" s="111"/>
      <c r="D303" s="111"/>
      <c r="F303" s="112"/>
    </row>
    <row r="304" spans="1:6" x14ac:dyDescent="0.2">
      <c r="A304" s="111"/>
      <c r="D304" s="111"/>
      <c r="F304" s="112"/>
    </row>
    <row r="305" spans="1:6" x14ac:dyDescent="0.2">
      <c r="A305" s="111"/>
      <c r="D305" s="111"/>
      <c r="F305" s="112"/>
    </row>
    <row r="306" spans="1:6" x14ac:dyDescent="0.2">
      <c r="A306" s="111"/>
      <c r="D306" s="111"/>
      <c r="F306" s="112"/>
    </row>
    <row r="307" spans="1:6" x14ac:dyDescent="0.2">
      <c r="A307" s="111"/>
      <c r="D307" s="111"/>
      <c r="F307" s="112"/>
    </row>
    <row r="308" spans="1:6" x14ac:dyDescent="0.2">
      <c r="A308" s="111"/>
      <c r="D308" s="111"/>
      <c r="F308" s="112"/>
    </row>
    <row r="309" spans="1:6" x14ac:dyDescent="0.2">
      <c r="A309" s="111"/>
      <c r="D309" s="111"/>
      <c r="F309" s="112"/>
    </row>
    <row r="310" spans="1:6" x14ac:dyDescent="0.2">
      <c r="A310" s="111"/>
      <c r="D310" s="111"/>
      <c r="F310" s="112"/>
    </row>
    <row r="311" spans="1:6" x14ac:dyDescent="0.2">
      <c r="A311" s="111"/>
      <c r="D311" s="111"/>
      <c r="F311" s="112"/>
    </row>
    <row r="312" spans="1:6" x14ac:dyDescent="0.2">
      <c r="A312" s="111"/>
      <c r="D312" s="111"/>
      <c r="F312" s="112"/>
    </row>
    <row r="313" spans="1:6" x14ac:dyDescent="0.2">
      <c r="A313" s="111"/>
      <c r="D313" s="111"/>
      <c r="F313" s="112"/>
    </row>
    <row r="314" spans="1:6" x14ac:dyDescent="0.2">
      <c r="A314" s="111"/>
      <c r="D314" s="111"/>
      <c r="F314" s="112"/>
    </row>
    <row r="315" spans="1:6" x14ac:dyDescent="0.2">
      <c r="A315" s="111"/>
      <c r="D315" s="111"/>
      <c r="F315" s="112"/>
    </row>
    <row r="316" spans="1:6" x14ac:dyDescent="0.2">
      <c r="A316" s="111"/>
      <c r="D316" s="111"/>
      <c r="F316" s="112"/>
    </row>
    <row r="317" spans="1:6" x14ac:dyDescent="0.2">
      <c r="A317" s="111"/>
      <c r="D317" s="111"/>
      <c r="F317" s="112"/>
    </row>
    <row r="318" spans="1:6" x14ac:dyDescent="0.2">
      <c r="A318" s="111"/>
      <c r="D318" s="111"/>
      <c r="F318" s="112"/>
    </row>
    <row r="319" spans="1:6" x14ac:dyDescent="0.2">
      <c r="A319" s="111"/>
      <c r="D319" s="111"/>
      <c r="F319" s="112"/>
    </row>
    <row r="320" spans="1:6" x14ac:dyDescent="0.2">
      <c r="A320" s="111"/>
      <c r="D320" s="111"/>
      <c r="F320" s="112"/>
    </row>
    <row r="321" spans="1:6" x14ac:dyDescent="0.2">
      <c r="A321" s="111"/>
      <c r="D321" s="111"/>
      <c r="F321" s="112"/>
    </row>
    <row r="322" spans="1:6" x14ac:dyDescent="0.2">
      <c r="A322" s="111"/>
      <c r="D322" s="111"/>
      <c r="F322" s="112"/>
    </row>
    <row r="323" spans="1:6" x14ac:dyDescent="0.2">
      <c r="A323" s="111"/>
      <c r="D323" s="111"/>
      <c r="F323" s="112"/>
    </row>
    <row r="324" spans="1:6" x14ac:dyDescent="0.2">
      <c r="A324" s="111"/>
      <c r="D324" s="111"/>
      <c r="F324" s="112"/>
    </row>
    <row r="325" spans="1:6" x14ac:dyDescent="0.2">
      <c r="A325" s="111"/>
      <c r="D325" s="111"/>
      <c r="F325" s="112"/>
    </row>
    <row r="326" spans="1:6" x14ac:dyDescent="0.2">
      <c r="A326" s="111"/>
      <c r="D326" s="111"/>
      <c r="F326" s="112"/>
    </row>
    <row r="327" spans="1:6" x14ac:dyDescent="0.2">
      <c r="A327" s="111"/>
      <c r="D327" s="111"/>
      <c r="F327" s="112"/>
    </row>
    <row r="328" spans="1:6" x14ac:dyDescent="0.2">
      <c r="A328" s="111"/>
      <c r="D328" s="111"/>
      <c r="F328" s="112"/>
    </row>
    <row r="329" spans="1:6" x14ac:dyDescent="0.2">
      <c r="A329" s="111"/>
      <c r="D329" s="111"/>
      <c r="F329" s="112"/>
    </row>
    <row r="330" spans="1:6" x14ac:dyDescent="0.2">
      <c r="A330" s="111"/>
      <c r="D330" s="111"/>
      <c r="F330" s="112"/>
    </row>
    <row r="331" spans="1:6" x14ac:dyDescent="0.2">
      <c r="A331" s="111"/>
      <c r="D331" s="111"/>
      <c r="F331" s="112"/>
    </row>
    <row r="332" spans="1:6" x14ac:dyDescent="0.2">
      <c r="A332" s="111"/>
      <c r="D332" s="111"/>
      <c r="F332" s="112"/>
    </row>
    <row r="333" spans="1:6" x14ac:dyDescent="0.2">
      <c r="A333" s="111"/>
      <c r="D333" s="111"/>
      <c r="F333" s="112"/>
    </row>
    <row r="334" spans="1:6" x14ac:dyDescent="0.2">
      <c r="A334" s="111"/>
      <c r="D334" s="111"/>
      <c r="F334" s="112"/>
    </row>
    <row r="335" spans="1:6" x14ac:dyDescent="0.2">
      <c r="A335" s="111"/>
      <c r="D335" s="111"/>
      <c r="F335" s="112"/>
    </row>
    <row r="336" spans="1:6" x14ac:dyDescent="0.2">
      <c r="A336" s="111"/>
      <c r="D336" s="111"/>
      <c r="F336" s="112"/>
    </row>
    <row r="337" spans="1:6" x14ac:dyDescent="0.2">
      <c r="A337" s="111"/>
      <c r="D337" s="111"/>
      <c r="F337" s="112"/>
    </row>
    <row r="338" spans="1:6" x14ac:dyDescent="0.2">
      <c r="A338" s="111"/>
      <c r="D338" s="111"/>
      <c r="F338" s="112"/>
    </row>
    <row r="339" spans="1:6" x14ac:dyDescent="0.2">
      <c r="A339" s="111"/>
      <c r="D339" s="111"/>
      <c r="F339" s="112"/>
    </row>
    <row r="340" spans="1:6" x14ac:dyDescent="0.2">
      <c r="A340" s="111"/>
      <c r="D340" s="111"/>
      <c r="F340" s="112"/>
    </row>
    <row r="341" spans="1:6" x14ac:dyDescent="0.2">
      <c r="A341" s="111"/>
      <c r="D341" s="111"/>
      <c r="F341" s="112"/>
    </row>
    <row r="342" spans="1:6" x14ac:dyDescent="0.2">
      <c r="A342" s="111"/>
      <c r="D342" s="111"/>
      <c r="F342" s="112"/>
    </row>
    <row r="343" spans="1:6" x14ac:dyDescent="0.2">
      <c r="A343" s="111"/>
      <c r="D343" s="111"/>
      <c r="F343" s="112"/>
    </row>
    <row r="344" spans="1:6" x14ac:dyDescent="0.2">
      <c r="A344" s="111"/>
      <c r="D344" s="111"/>
      <c r="F344" s="112"/>
    </row>
    <row r="345" spans="1:6" x14ac:dyDescent="0.2">
      <c r="A345" s="111"/>
      <c r="D345" s="111"/>
      <c r="F345" s="112"/>
    </row>
    <row r="346" spans="1:6" x14ac:dyDescent="0.2">
      <c r="A346" s="111"/>
      <c r="D346" s="111"/>
      <c r="F346" s="112"/>
    </row>
    <row r="347" spans="1:6" x14ac:dyDescent="0.2">
      <c r="A347" s="111"/>
      <c r="D347" s="111"/>
      <c r="F347" s="112"/>
    </row>
    <row r="348" spans="1:6" x14ac:dyDescent="0.2">
      <c r="A348" s="111"/>
      <c r="D348" s="111"/>
      <c r="F348" s="112"/>
    </row>
    <row r="349" spans="1:6" x14ac:dyDescent="0.2">
      <c r="A349" s="111"/>
      <c r="D349" s="111"/>
      <c r="F349" s="112"/>
    </row>
    <row r="350" spans="1:6" x14ac:dyDescent="0.2">
      <c r="A350" s="111"/>
      <c r="D350" s="111"/>
      <c r="F350" s="112"/>
    </row>
    <row r="351" spans="1:6" x14ac:dyDescent="0.2">
      <c r="A351" s="111"/>
      <c r="D351" s="111"/>
      <c r="F351" s="112"/>
    </row>
    <row r="352" spans="1:6" x14ac:dyDescent="0.2">
      <c r="A352" s="111"/>
      <c r="D352" s="111"/>
      <c r="F352" s="112"/>
    </row>
    <row r="353" spans="1:6" x14ac:dyDescent="0.2">
      <c r="A353" s="111"/>
      <c r="D353" s="111"/>
      <c r="F353" s="112"/>
    </row>
    <row r="354" spans="1:6" x14ac:dyDescent="0.2">
      <c r="A354" s="111"/>
      <c r="D354" s="111"/>
      <c r="F354" s="112"/>
    </row>
    <row r="355" spans="1:6" x14ac:dyDescent="0.2">
      <c r="A355" s="111"/>
      <c r="D355" s="111"/>
      <c r="F355" s="112"/>
    </row>
    <row r="356" spans="1:6" x14ac:dyDescent="0.2">
      <c r="A356" s="111"/>
      <c r="D356" s="111"/>
      <c r="F356" s="112"/>
    </row>
    <row r="357" spans="1:6" x14ac:dyDescent="0.2">
      <c r="A357" s="111"/>
      <c r="D357" s="111"/>
      <c r="F357" s="112"/>
    </row>
    <row r="358" spans="1:6" x14ac:dyDescent="0.2">
      <c r="A358" s="111"/>
      <c r="D358" s="111"/>
      <c r="F358" s="112"/>
    </row>
    <row r="359" spans="1:6" x14ac:dyDescent="0.2">
      <c r="A359" s="111"/>
      <c r="D359" s="111"/>
      <c r="F359" s="112"/>
    </row>
    <row r="360" spans="1:6" x14ac:dyDescent="0.2">
      <c r="A360" s="111"/>
      <c r="D360" s="111"/>
      <c r="F360" s="112"/>
    </row>
    <row r="361" spans="1:6" x14ac:dyDescent="0.2">
      <c r="A361" s="111"/>
      <c r="D361" s="111"/>
      <c r="F361" s="112"/>
    </row>
    <row r="362" spans="1:6" x14ac:dyDescent="0.2">
      <c r="A362" s="111"/>
      <c r="D362" s="111"/>
      <c r="F362" s="112"/>
    </row>
    <row r="363" spans="1:6" x14ac:dyDescent="0.2">
      <c r="A363" s="111"/>
      <c r="D363" s="111"/>
      <c r="F363" s="112"/>
    </row>
    <row r="364" spans="1:6" x14ac:dyDescent="0.2">
      <c r="A364" s="111"/>
      <c r="D364" s="111"/>
      <c r="F364" s="112"/>
    </row>
    <row r="365" spans="1:6" x14ac:dyDescent="0.2">
      <c r="A365" s="111"/>
      <c r="D365" s="111"/>
      <c r="F365" s="112"/>
    </row>
    <row r="366" spans="1:6" x14ac:dyDescent="0.2">
      <c r="A366" s="111"/>
      <c r="D366" s="111"/>
      <c r="F366" s="112"/>
    </row>
    <row r="367" spans="1:6" x14ac:dyDescent="0.2">
      <c r="A367" s="111"/>
      <c r="D367" s="111"/>
      <c r="F367" s="112"/>
    </row>
    <row r="368" spans="1:6" x14ac:dyDescent="0.2">
      <c r="A368" s="111"/>
      <c r="D368" s="111"/>
      <c r="F368" s="112"/>
    </row>
    <row r="369" spans="1:6" x14ac:dyDescent="0.2">
      <c r="A369" s="111"/>
      <c r="D369" s="111"/>
      <c r="F369" s="112"/>
    </row>
    <row r="370" spans="1:6" x14ac:dyDescent="0.2">
      <c r="A370" s="111"/>
      <c r="D370" s="111"/>
      <c r="F370" s="112"/>
    </row>
    <row r="371" spans="1:6" x14ac:dyDescent="0.2">
      <c r="A371" s="111"/>
      <c r="D371" s="111"/>
      <c r="F371" s="112"/>
    </row>
    <row r="372" spans="1:6" x14ac:dyDescent="0.2">
      <c r="A372" s="111"/>
      <c r="D372" s="111"/>
      <c r="F372" s="112"/>
    </row>
    <row r="373" spans="1:6" x14ac:dyDescent="0.2">
      <c r="A373" s="111"/>
      <c r="D373" s="111"/>
      <c r="F373" s="112"/>
    </row>
    <row r="374" spans="1:6" x14ac:dyDescent="0.2">
      <c r="A374" s="111"/>
      <c r="D374" s="111"/>
      <c r="F374" s="112"/>
    </row>
    <row r="375" spans="1:6" x14ac:dyDescent="0.2">
      <c r="A375" s="111"/>
      <c r="D375" s="111"/>
      <c r="F375" s="112"/>
    </row>
    <row r="376" spans="1:6" x14ac:dyDescent="0.2">
      <c r="A376" s="111"/>
      <c r="D376" s="111"/>
      <c r="F376" s="112"/>
    </row>
    <row r="377" spans="1:6" x14ac:dyDescent="0.2">
      <c r="A377" s="111"/>
      <c r="D377" s="111"/>
      <c r="F377" s="112"/>
    </row>
    <row r="378" spans="1:6" x14ac:dyDescent="0.2">
      <c r="A378" s="111"/>
      <c r="D378" s="111"/>
      <c r="F378" s="112"/>
    </row>
    <row r="379" spans="1:6" x14ac:dyDescent="0.2">
      <c r="A379" s="111"/>
      <c r="D379" s="111"/>
      <c r="F379" s="112"/>
    </row>
    <row r="380" spans="1:6" x14ac:dyDescent="0.2">
      <c r="A380" s="111"/>
      <c r="D380" s="111"/>
      <c r="F380" s="112"/>
    </row>
    <row r="381" spans="1:6" x14ac:dyDescent="0.2">
      <c r="A381" s="111"/>
      <c r="D381" s="111"/>
      <c r="F381" s="112"/>
    </row>
    <row r="382" spans="1:6" x14ac:dyDescent="0.2">
      <c r="A382" s="111"/>
      <c r="D382" s="111"/>
      <c r="F382" s="112"/>
    </row>
    <row r="383" spans="1:6" x14ac:dyDescent="0.2">
      <c r="A383" s="111"/>
      <c r="D383" s="111"/>
      <c r="F383" s="112"/>
    </row>
    <row r="384" spans="1:6" x14ac:dyDescent="0.2">
      <c r="A384" s="111"/>
      <c r="D384" s="111"/>
      <c r="F384" s="112"/>
    </row>
    <row r="385" spans="1:6" x14ac:dyDescent="0.2">
      <c r="A385" s="111"/>
      <c r="D385" s="111"/>
      <c r="F385" s="112"/>
    </row>
    <row r="386" spans="1:6" x14ac:dyDescent="0.2">
      <c r="A386" s="113"/>
      <c r="B386" s="114"/>
      <c r="C386" s="114"/>
      <c r="D386" s="111"/>
      <c r="F386" s="112"/>
    </row>
    <row r="387" spans="1:6" x14ac:dyDescent="0.2">
      <c r="D387" s="113"/>
      <c r="E387" s="114"/>
      <c r="F387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S1</vt:lpstr>
      <vt:lpstr>Data S2</vt:lpstr>
      <vt:lpstr>Data S3</vt:lpstr>
      <vt:lpstr>Data S4</vt:lpstr>
      <vt:lpstr>Data S5</vt:lpstr>
      <vt:lpstr>Data S6</vt:lpstr>
      <vt:lpstr>Data S7</vt:lpstr>
      <vt:lpstr>Data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Barboni</dc:creator>
  <cp:lastModifiedBy>Felix Boschetty</cp:lastModifiedBy>
  <dcterms:created xsi:type="dcterms:W3CDTF">2024-06-24T02:14:47Z</dcterms:created>
  <dcterms:modified xsi:type="dcterms:W3CDTF">2025-11-03T12:50:17Z</dcterms:modified>
</cp:coreProperties>
</file>